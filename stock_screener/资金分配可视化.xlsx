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A股 AI" sheetId="2" state="visible" r:id="rId2"/>
    <sheet name="港股 AI" sheetId="3" state="visible" r:id="rId3"/>
    <sheet name="A股 新能源" sheetId="4" state="visible" r:id="rId4"/>
    <sheet name="操作信号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&quot;¥&quot;#,##0"/>
    <numFmt numFmtId="166" formatCode="0.0"/>
    <numFmt numFmtId="167" formatCode="0.0&quot;%&quot;"/>
    <numFmt numFmtId="168" formatCode="&quot;HK$&quot;#,##0"/>
  </numFmts>
  <fonts count="9">
    <font>
      <name val="Calibri"/>
      <family val="2"/>
      <color theme="1"/>
      <sz val="11"/>
      <scheme val="minor"/>
    </font>
    <font>
      <name val="Microsoft YaHei"/>
      <b val="1"/>
      <color rgb="001F4E78"/>
      <sz val="18"/>
    </font>
    <font>
      <name val="Microsoft YaHei"/>
      <i val="1"/>
      <color rgb="00808080"/>
      <sz val="10"/>
    </font>
    <font>
      <name val="Microsoft YaHei"/>
      <b val="1"/>
      <color rgb="00FFFFFF"/>
      <sz val="11"/>
    </font>
    <font>
      <name val="Microsoft YaHei"/>
      <b val="1"/>
      <sz val="11"/>
    </font>
    <font>
      <name val="Microsoft YaHei"/>
      <b val="1"/>
      <color rgb="001F4E78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4C7E7"/>
        <bgColor rgb="00B4C7E7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left" vertical="center" wrapText="1"/>
    </xf>
    <xf numFmtId="3" fontId="7" fillId="0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center" vertical="center" wrapText="1"/>
    </xf>
    <xf numFmtId="167" fontId="7" fillId="0" borderId="1" applyAlignment="1" pivotButton="0" quotePrefix="0" xfId="0">
      <alignment horizontal="center" vertical="center" wrapText="1"/>
    </xf>
    <xf numFmtId="9" fontId="7" fillId="0" borderId="1" applyAlignment="1" pivotButton="0" quotePrefix="0" xfId="0">
      <alignment horizontal="center" vertical="center" wrapText="1"/>
    </xf>
    <xf numFmtId="2" fontId="7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left" vertical="center" wrapText="1"/>
    </xf>
    <xf numFmtId="168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E2EFDA"/>
          <bgColor rgb="00E2EFDA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FE6E6"/>
          <bgColor rgb="00FF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 股 AI (8 只) - 首批资金分配</a:t>
            </a:r>
          </a:p>
        </rich>
      </tx>
    </title>
    <plotArea>
      <pieChart>
        <varyColors val="1"/>
        <ser>
          <idx val="0"/>
          <order val="0"/>
          <tx>
            <strRef>
              <f>'A股 AI'!O4</f>
            </strRef>
          </tx>
          <spPr>
            <a:ln>
              <a:prstDash val="solid"/>
            </a:ln>
          </spPr>
          <cat>
            <numRef>
              <f>'A股 AI'!$A$5:$A$12</f>
            </numRef>
          </cat>
          <val>
            <numRef>
              <f>'A股 AI'!$O$5:$O$12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Wyckoff 首批仓位 %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'A股 AI'!N4</f>
            </strRef>
          </tx>
          <spPr>
            <a:ln>
              <a:prstDash val="solid"/>
            </a:ln>
          </spPr>
          <cat>
            <numRef>
              <f>'A股 AI'!$A$5:$A$12</f>
            </numRef>
          </cat>
          <val>
            <numRef>
              <f>'A股 AI'!$N$5:$N$12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港股 AI (8 只) - 首批资金分配</a:t>
            </a:r>
          </a:p>
        </rich>
      </tx>
    </title>
    <plotArea>
      <pieChart>
        <varyColors val="1"/>
        <ser>
          <idx val="0"/>
          <order val="0"/>
          <tx>
            <strRef>
              <f>'港股 AI'!O4</f>
            </strRef>
          </tx>
          <spPr>
            <a:ln>
              <a:prstDash val="solid"/>
            </a:ln>
          </spPr>
          <cat>
            <numRef>
              <f>'港股 AI'!$A$5:$A$12</f>
            </numRef>
          </cat>
          <val>
            <numRef>
              <f>'港股 AI'!$O$5:$O$12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Wyckoff 首批仓位 %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'港股 AI'!N4</f>
            </strRef>
          </tx>
          <spPr>
            <a:ln>
              <a:prstDash val="solid"/>
            </a:ln>
          </spPr>
          <cat>
            <numRef>
              <f>'港股 AI'!$A$5:$A$12</f>
            </numRef>
          </cat>
          <val>
            <numRef>
              <f>'港股 AI'!$N$5:$N$12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 股 新能源 (8 只) - 首批资金分配</a:t>
            </a:r>
          </a:p>
        </rich>
      </tx>
    </title>
    <plotArea>
      <pieChart>
        <varyColors val="1"/>
        <ser>
          <idx val="0"/>
          <order val="0"/>
          <tx>
            <strRef>
              <f>'A股 新能源'!O4</f>
            </strRef>
          </tx>
          <spPr>
            <a:ln>
              <a:prstDash val="solid"/>
            </a:ln>
          </spPr>
          <cat>
            <numRef>
              <f>'A股 新能源'!$A$5:$A$12</f>
            </numRef>
          </cat>
          <val>
            <numRef>
              <f>'A股 新能源'!$O$5:$O$12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Wyckoff 首批仓位 %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'A股 新能源'!N4</f>
            </strRef>
          </tx>
          <spPr>
            <a:ln>
              <a:prstDash val="solid"/>
            </a:ln>
          </spPr>
          <cat>
            <numRef>
              <f>'A股 新能源'!$A$5:$A$12</f>
            </numRef>
          </cat>
          <val>
            <numRef>
              <f>'A股 新能源'!$N$5:$N$12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18</col>
      <colOff>0</colOff>
      <row>3</row>
      <rowOff>0</rowOff>
    </from>
    <ext cx="57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25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18</col>
      <colOff>0</colOff>
      <row>3</row>
      <rowOff>0</rowOff>
    </from>
    <ext cx="57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25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18</col>
      <colOff>0</colOff>
      <row>3</row>
      <rowOff>0</rowOff>
    </from>
    <ext cx="57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25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截图股票完整分析 - 总览</t>
        </is>
      </c>
    </row>
    <row r="2">
      <c r="A2" s="2" t="inlineStr">
        <is>
          <t>数据: yfinance | 共 3 个组合 24 只 | 市值PE运营 + 60dVWAP 筹码 + 主力 + Wyckoff</t>
        </is>
      </c>
    </row>
    <row r="4">
      <c r="A4" s="3" t="inlineStr">
        <is>
          <t>组合</t>
        </is>
      </c>
      <c r="B4" s="3" t="inlineStr">
        <is>
          <t>股票数</t>
        </is>
      </c>
      <c r="C4" s="3" t="inlineStr">
        <is>
          <t>强建仓</t>
        </is>
      </c>
      <c r="D4" s="3" t="inlineStr">
        <is>
          <t>试探</t>
        </is>
      </c>
      <c r="E4" s="3" t="inlineStr">
        <is>
          <t>暂禁</t>
        </is>
      </c>
    </row>
    <row r="5">
      <c r="A5" s="4" t="inlineStr">
        <is>
          <t>A 股 AI (8)</t>
        </is>
      </c>
      <c r="B5" s="5" t="n">
        <v>8</v>
      </c>
      <c r="C5" s="5" t="n">
        <v>3</v>
      </c>
      <c r="D5" s="5" t="n">
        <v>4</v>
      </c>
      <c r="E5" s="5" t="n">
        <v>1</v>
      </c>
    </row>
    <row r="6">
      <c r="A6" s="6" t="inlineStr">
        <is>
          <t>港股 AI (8)</t>
        </is>
      </c>
      <c r="B6" s="5" t="n">
        <v>8</v>
      </c>
      <c r="C6" s="5" t="n">
        <v>1</v>
      </c>
      <c r="D6" s="5" t="n">
        <v>4</v>
      </c>
      <c r="E6" s="5" t="n">
        <v>3</v>
      </c>
    </row>
    <row r="7">
      <c r="A7" s="7" t="inlineStr">
        <is>
          <t>A 股 新能源 (8)</t>
        </is>
      </c>
      <c r="B7" s="5" t="n">
        <v>8</v>
      </c>
      <c r="C7" s="5" t="n">
        <v>2</v>
      </c>
      <c r="D7" s="5" t="n">
        <v>2</v>
      </c>
      <c r="E7" s="5" t="n">
        <v>4</v>
      </c>
    </row>
    <row r="10">
      <c r="A10" s="8" t="inlineStr">
        <is>
          <t>Wyckoff 阶段速查</t>
        </is>
      </c>
    </row>
    <row r="11">
      <c r="A11" s="9" t="inlineStr">
        <is>
          <t>吸筹 A (止跌)</t>
        </is>
      </c>
      <c r="B11" s="10" t="inlineStr">
        <is>
          <t>长跌后初步止跌 -&gt; 暂不建仓,占位 15%</t>
        </is>
      </c>
    </row>
    <row r="12">
      <c r="A12" s="9" t="inlineStr">
        <is>
          <t>吸筹 B (吸筹震荡)</t>
        </is>
      </c>
      <c r="B12" s="10" t="inlineStr">
        <is>
          <t>横盘震荡,主力低吸 -&gt; 小仓试探 30%</t>
        </is>
      </c>
    </row>
    <row r="13">
      <c r="A13" s="9" t="inlineStr">
        <is>
          <t>吸筹 C (Spring)</t>
        </is>
      </c>
      <c r="B13" s="10" t="inlineStr">
        <is>
          <t>刺破前低后强力收回 -&gt; 最佳点 60%</t>
        </is>
      </c>
    </row>
    <row r="14">
      <c r="A14" s="9" t="inlineStr">
        <is>
          <t>吸筹 C-&gt;D (确认)</t>
        </is>
      </c>
      <c r="B14" s="10" t="inlineStr">
        <is>
          <t>Spring 后回升 -&gt; 趋势确认 70%</t>
        </is>
      </c>
    </row>
    <row r="15">
      <c r="A15" s="9" t="inlineStr">
        <is>
          <t>吸筹 D (SOS 上涨)</t>
        </is>
      </c>
      <c r="B15" s="10" t="inlineStr">
        <is>
          <t>放量突破 -&gt; 70%</t>
        </is>
      </c>
    </row>
    <row r="16">
      <c r="A16" s="9" t="inlineStr">
        <is>
          <t>吸筹 E (上升趋势)</t>
        </is>
      </c>
      <c r="B16" s="10" t="inlineStr">
        <is>
          <t>已脱离吸筹区 -&gt; 已在趋势中 40%</t>
        </is>
      </c>
    </row>
    <row r="17">
      <c r="A17" s="9" t="inlineStr">
        <is>
          <t>派发 C (UTAD)</t>
        </is>
      </c>
      <c r="B17" s="10" t="inlineStr">
        <is>
          <t>高位刺破前高 -&gt; 顶部信号</t>
        </is>
      </c>
    </row>
    <row r="18">
      <c r="A18" s="9" t="inlineStr">
        <is>
          <t>派发 D (SOW 跌)</t>
        </is>
      </c>
      <c r="B18" s="10" t="inlineStr">
        <is>
          <t>跌破支撑 -&gt; 等 MA200</t>
        </is>
      </c>
    </row>
    <row r="20">
      <c r="A20" s="8" t="inlineStr">
        <is>
          <t>重要说明</t>
        </is>
      </c>
    </row>
    <row r="21">
      <c r="A21" s="11" t="inlineStr">
        <is>
          <t>1. 平均筹码价格用 60 日 VWAP 代理 - 严格的'持仓成本'需要 Tick 数据</t>
        </is>
      </c>
    </row>
    <row r="22">
      <c r="A22" s="11" t="inlineStr">
        <is>
          <t>2. 主力资金/庄家用 OBV+CMF+涨跌量比推断 - 准确判断需 L2 数据</t>
        </is>
      </c>
    </row>
    <row r="23">
      <c r="A23" s="11" t="inlineStr">
        <is>
          <t>3. Wyckoff 阶段基于 52W 位置 + MA 趋势 + Spring/UTAD 检测</t>
        </is>
      </c>
    </row>
    <row r="24">
      <c r="A24" s="11" t="inlineStr">
        <is>
          <t>4. 本报告为按规则的资金分配,不构成任何投资建议</t>
        </is>
      </c>
    </row>
    <row r="25">
      <c r="A25" s="11" t="inlineStr">
        <is>
          <t>5. 风险提示: 跌破止损位强制止损,Spring 失败立即清仓</t>
        </is>
      </c>
    </row>
  </sheetData>
  <mergeCells count="17">
    <mergeCell ref="A21:E21"/>
    <mergeCell ref="B17:E17"/>
    <mergeCell ref="B18:E18"/>
    <mergeCell ref="A20:E20"/>
    <mergeCell ref="A24:E24"/>
    <mergeCell ref="A2:E2"/>
    <mergeCell ref="B12:E12"/>
    <mergeCell ref="A10:E10"/>
    <mergeCell ref="B13:E13"/>
    <mergeCell ref="A25:E25"/>
    <mergeCell ref="B16:E16"/>
    <mergeCell ref="B15:E15"/>
    <mergeCell ref="A1:E1"/>
    <mergeCell ref="B11:E11"/>
    <mergeCell ref="A23:E23"/>
    <mergeCell ref="A22:E22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9" customWidth="1" min="3" max="3"/>
    <col width="9" customWidth="1" min="4" max="4"/>
    <col width="11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1" customWidth="1" min="12" max="12"/>
    <col width="22" customWidth="1" min="13" max="13"/>
    <col width="9" customWidth="1" min="14" max="14"/>
    <col width="11" customWidth="1" min="15" max="15"/>
    <col width="30" customWidth="1" min="16" max="16"/>
    <col width="9" customWidth="1" min="17" max="17"/>
  </cols>
  <sheetData>
    <row r="1">
      <c r="A1" s="8" t="inlineStr">
        <is>
          <t>A 股 AI (8 只) - 资金分配 + Wyckoff</t>
        </is>
      </c>
    </row>
    <row r="2">
      <c r="A2" s="2" t="inlineStr">
        <is>
          <t>总资金 ¥100,000 | 首批仓位按 Wyckoff 阶段调整</t>
        </is>
      </c>
    </row>
    <row r="4">
      <c r="A4" s="12" t="inlineStr">
        <is>
          <t>代码</t>
        </is>
      </c>
      <c r="B4" s="12" t="inlineStr">
        <is>
          <t>名称</t>
        </is>
      </c>
      <c r="C4" s="12" t="inlineStr">
        <is>
          <t>综合分</t>
        </is>
      </c>
      <c r="D4" s="12" t="inlineStr">
        <is>
          <t>分配 %</t>
        </is>
      </c>
      <c r="E4" s="12" t="inlineStr">
        <is>
          <t>理论金额</t>
        </is>
      </c>
      <c r="F4" s="12" t="inlineStr">
        <is>
          <t>股价</t>
        </is>
      </c>
      <c r="G4" s="12" t="inlineStr">
        <is>
          <t>市值</t>
        </is>
      </c>
      <c r="H4" s="12" t="inlineStr">
        <is>
          <t>PE</t>
        </is>
      </c>
      <c r="I4" s="12" t="inlineStr">
        <is>
          <t>营收增长</t>
        </is>
      </c>
      <c r="J4" s="12" t="inlineStr">
        <is>
          <t>利润率</t>
        </is>
      </c>
      <c r="K4" s="12" t="inlineStr">
        <is>
          <t>ROE</t>
        </is>
      </c>
      <c r="L4" s="12" t="inlineStr">
        <is>
          <t>位置 %</t>
        </is>
      </c>
      <c r="M4" s="12" t="inlineStr">
        <is>
          <t>Wyckoff 阶段</t>
        </is>
      </c>
      <c r="N4" s="12" t="inlineStr">
        <is>
          <t>首批 %</t>
        </is>
      </c>
      <c r="O4" s="12" t="inlineStr">
        <is>
          <t>首批金额</t>
        </is>
      </c>
      <c r="P4" s="12" t="inlineStr">
        <is>
          <t>第二批触发</t>
        </is>
      </c>
      <c r="Q4" s="12" t="inlineStr">
        <is>
          <t>止损</t>
        </is>
      </c>
    </row>
    <row r="5">
      <c r="A5" s="13" t="inlineStr">
        <is>
          <t>603501.SS</t>
        </is>
      </c>
      <c r="B5" s="14" t="inlineStr">
        <is>
          <t>韦尔股份</t>
        </is>
      </c>
      <c r="C5" s="13" t="n">
        <v>46</v>
      </c>
      <c r="D5" s="15" t="n">
        <v>0.2446056547619048</v>
      </c>
      <c r="E5" s="16" t="n">
        <v>24460.56547619048</v>
      </c>
      <c r="F5" s="13" t="n">
        <v>103.31</v>
      </c>
      <c r="G5" s="17" t="n">
        <v>130546868224</v>
      </c>
      <c r="H5" s="18" t="n">
        <v>34.049343</v>
      </c>
      <c r="I5" s="15" t="n">
        <v>-0.008999999999999999</v>
      </c>
      <c r="J5" s="15" t="n">
        <v>0.12788</v>
      </c>
      <c r="K5" s="15" t="n">
        <v>0.12583</v>
      </c>
      <c r="L5" s="19" t="n">
        <v>20.3</v>
      </c>
      <c r="M5" s="14" t="inlineStr">
        <is>
          <t>B (吸筹震荡)</t>
        </is>
      </c>
      <c r="N5" s="20" t="n">
        <v>0.3</v>
      </c>
      <c r="O5" s="16" t="n">
        <v>7338.169642857143</v>
      </c>
      <c r="P5" s="14" t="inlineStr">
        <is>
          <t>突破 109.09 加 / 回踩 91.62 不破再加</t>
        </is>
      </c>
      <c r="Q5" s="21" t="n">
        <v>85.20999999999999</v>
      </c>
    </row>
    <row r="6">
      <c r="A6" s="13" t="inlineStr">
        <is>
          <t>002230.SZ</t>
        </is>
      </c>
      <c r="B6" s="14" t="inlineStr">
        <is>
          <t>科大讯飞</t>
        </is>
      </c>
      <c r="C6" s="13" t="n">
        <v>30</v>
      </c>
      <c r="D6" s="15" t="n">
        <v>0.2446056547619048</v>
      </c>
      <c r="E6" s="16" t="n">
        <v>24460.56547619048</v>
      </c>
      <c r="F6" s="13" t="n">
        <v>48.83</v>
      </c>
      <c r="G6" s="17" t="n">
        <v>118662742016</v>
      </c>
      <c r="H6" s="18" t="n">
        <v>133.51352</v>
      </c>
      <c r="I6" s="15" t="n">
        <v>0.132</v>
      </c>
      <c r="J6" s="15" t="n">
        <v>0.03113</v>
      </c>
      <c r="K6" s="15" t="n">
        <v>0.04538</v>
      </c>
      <c r="L6" s="19" t="n">
        <v>17.3</v>
      </c>
      <c r="M6" s="14" t="inlineStr">
        <is>
          <t>C-&gt;D (Spring 已确认)</t>
        </is>
      </c>
      <c r="N6" s="20" t="n">
        <v>0.7</v>
      </c>
      <c r="O6" s="16" t="n">
        <v>17122.39583333333</v>
      </c>
      <c r="P6" s="14" t="inlineStr">
        <is>
          <t>突破 50.29(+3%) 加仓</t>
        </is>
      </c>
      <c r="Q6" s="21" t="n">
        <v>49.17</v>
      </c>
    </row>
    <row r="7">
      <c r="A7" s="13" t="inlineStr">
        <is>
          <t>002362.SZ</t>
        </is>
      </c>
      <c r="B7" s="14" t="inlineStr">
        <is>
          <t>汉王科技</t>
        </is>
      </c>
      <c r="C7" s="13" t="n">
        <v>15</v>
      </c>
      <c r="D7" s="15" t="n">
        <v>0.1497395833333333</v>
      </c>
      <c r="E7" s="16" t="n">
        <v>14973.95833333333</v>
      </c>
      <c r="F7" s="13" t="n">
        <v>18.87</v>
      </c>
      <c r="G7" s="17" t="n">
        <v>4639749120</v>
      </c>
      <c r="H7" s="18" t="n"/>
      <c r="I7" s="15" t="n">
        <v>-0.061</v>
      </c>
      <c r="J7" s="15" t="n">
        <v>-0.10373</v>
      </c>
      <c r="K7" s="15" t="n">
        <v>-0.15855</v>
      </c>
      <c r="L7" s="19" t="n">
        <v>10.8</v>
      </c>
      <c r="M7" s="14" t="inlineStr">
        <is>
          <t>A/B (筑底中)</t>
        </is>
      </c>
      <c r="N7" s="20" t="n">
        <v>0.15</v>
      </c>
      <c r="O7" s="16" t="n">
        <v>2246.09375</v>
      </c>
      <c r="P7" s="14" t="inlineStr">
        <is>
          <t>等待突破 20.06(确认 SOS)再建主仓</t>
        </is>
      </c>
      <c r="Q7" s="21" t="n">
        <v>17.36</v>
      </c>
    </row>
    <row r="8">
      <c r="A8" s="13" t="inlineStr">
        <is>
          <t>300024.SZ</t>
        </is>
      </c>
      <c r="B8" s="14" t="inlineStr">
        <is>
          <t>机器人</t>
        </is>
      </c>
      <c r="C8" s="13" t="n">
        <v>10</v>
      </c>
      <c r="D8" s="15" t="n">
        <v>0.1125372023809524</v>
      </c>
      <c r="E8" s="16" t="n">
        <v>11253.72023809524</v>
      </c>
      <c r="F8" s="13" t="n">
        <v>15.35</v>
      </c>
      <c r="G8" s="17" t="n">
        <v>24110546944</v>
      </c>
      <c r="H8" s="18" t="n"/>
      <c r="I8" s="15" t="n">
        <v>-0.08400000000000001</v>
      </c>
      <c r="J8" s="15" t="n">
        <v>-0.1083</v>
      </c>
      <c r="K8" s="15" t="n">
        <v>-0.09656000000000001</v>
      </c>
      <c r="L8" s="19" t="n">
        <v>15.5</v>
      </c>
      <c r="M8" s="14" t="inlineStr">
        <is>
          <t>C-&gt;D (Spring 已确认)</t>
        </is>
      </c>
      <c r="N8" s="20" t="n">
        <v>0.7</v>
      </c>
      <c r="O8" s="16" t="n">
        <v>7877.604166666665</v>
      </c>
      <c r="P8" s="14" t="inlineStr">
        <is>
          <t>突破 15.81(+3%) 加仓</t>
        </is>
      </c>
      <c r="Q8" s="21" t="n">
        <v>15.33</v>
      </c>
    </row>
    <row r="9">
      <c r="A9" s="13" t="inlineStr">
        <is>
          <t>000536.SZ</t>
        </is>
      </c>
      <c r="B9" s="14" t="inlineStr">
        <is>
          <t>华映科技</t>
        </is>
      </c>
      <c r="C9" s="13" t="n">
        <v>5</v>
      </c>
      <c r="D9" s="15" t="n">
        <v>0.07533482142857142</v>
      </c>
      <c r="E9" s="16" t="n">
        <v>7533.482142857142</v>
      </c>
      <c r="F9" s="13" t="n">
        <v>4.04</v>
      </c>
      <c r="G9" s="17" t="n">
        <v>11230093312</v>
      </c>
      <c r="H9" s="18" t="n"/>
      <c r="I9" s="15" t="n">
        <v>-0.197</v>
      </c>
      <c r="J9" s="15" t="n">
        <v>-0.74821</v>
      </c>
      <c r="K9" s="15" t="n">
        <v>-0.84827006</v>
      </c>
      <c r="L9" s="19" t="n">
        <v>8.6</v>
      </c>
      <c r="M9" s="14" t="inlineStr">
        <is>
          <t>C (Spring)</t>
        </is>
      </c>
      <c r="N9" s="20" t="n">
        <v>0.6</v>
      </c>
      <c r="O9" s="16" t="n">
        <v>4520.089285714285</v>
      </c>
      <c r="P9" s="14" t="inlineStr">
        <is>
          <t>突破 4.24(+5%) 加仓</t>
        </is>
      </c>
      <c r="Q9" s="21" t="n">
        <v>4.04</v>
      </c>
    </row>
    <row r="10">
      <c r="A10" s="13" t="inlineStr">
        <is>
          <t>300229.SZ</t>
        </is>
      </c>
      <c r="B10" s="14" t="inlineStr">
        <is>
          <t>拓尔思</t>
        </is>
      </c>
      <c r="C10" s="13" t="n">
        <v>5</v>
      </c>
      <c r="D10" s="15" t="n">
        <v>0.07533482142857142</v>
      </c>
      <c r="E10" s="16" t="n">
        <v>7533.482142857142</v>
      </c>
      <c r="F10" s="13" t="n">
        <v>19.12</v>
      </c>
      <c r="G10" s="17" t="n">
        <v>16904565760</v>
      </c>
      <c r="H10" s="18" t="n"/>
      <c r="I10" s="15" t="n">
        <v>-0.477</v>
      </c>
      <c r="J10" s="15" t="n">
        <v>-0.77077</v>
      </c>
      <c r="K10" s="15" t="n">
        <v>-0.08882</v>
      </c>
      <c r="L10" s="19" t="n">
        <v>19.2</v>
      </c>
      <c r="M10" s="14" t="inlineStr">
        <is>
          <t>B (吸筹震荡)</t>
        </is>
      </c>
      <c r="N10" s="20" t="n">
        <v>0.3</v>
      </c>
      <c r="O10" s="16" t="n">
        <v>2260.044642857143</v>
      </c>
      <c r="P10" s="14" t="inlineStr">
        <is>
          <t>突破 20.55 加 / 回踩 17.41 不破再加</t>
        </is>
      </c>
      <c r="Q10" s="21" t="n">
        <v>16.19</v>
      </c>
    </row>
    <row r="11">
      <c r="A11" s="13" t="inlineStr">
        <is>
          <t>300168.SZ</t>
        </is>
      </c>
      <c r="B11" s="14" t="inlineStr">
        <is>
          <t>万达信息</t>
        </is>
      </c>
      <c r="C11" s="13" t="n">
        <v>0</v>
      </c>
      <c r="D11" s="15" t="n">
        <v>0.04892113095238095</v>
      </c>
      <c r="E11" s="16" t="n">
        <v>4892.113095238095</v>
      </c>
      <c r="F11" s="13" t="n">
        <v>5.84</v>
      </c>
      <c r="G11" s="17" t="n">
        <v>8456489984</v>
      </c>
      <c r="H11" s="18" t="n"/>
      <c r="I11" s="15" t="n">
        <v>-0.006</v>
      </c>
      <c r="J11" s="15" t="n">
        <v>-0.26466998</v>
      </c>
      <c r="K11" s="15" t="n">
        <v>-0.36288</v>
      </c>
      <c r="L11" s="19" t="n">
        <v>17.5</v>
      </c>
      <c r="M11" s="14" t="inlineStr">
        <is>
          <t>B (吸筹震荡)</t>
        </is>
      </c>
      <c r="N11" s="20" t="n">
        <v>0.3</v>
      </c>
      <c r="O11" s="16" t="n">
        <v>1467.633928571429</v>
      </c>
      <c r="P11" s="14" t="inlineStr">
        <is>
          <t>突破 6.30 加 / 回踩 5.25 不破再加</t>
        </is>
      </c>
      <c r="Q11" s="21" t="n">
        <v>4.88</v>
      </c>
    </row>
    <row r="12">
      <c r="A12" s="13" t="inlineStr">
        <is>
          <t>300624.SZ</t>
        </is>
      </c>
      <c r="B12" s="14" t="inlineStr">
        <is>
          <t>万兴科技</t>
        </is>
      </c>
      <c r="C12" s="13" t="n">
        <v>0</v>
      </c>
      <c r="D12" s="15" t="n">
        <v>0.04892113095238095</v>
      </c>
      <c r="E12" s="16" t="n">
        <v>4892.113095238095</v>
      </c>
      <c r="F12" s="13" t="n">
        <v>68.63</v>
      </c>
      <c r="G12" s="17" t="n">
        <v>13322806272</v>
      </c>
      <c r="H12" s="18" t="n"/>
      <c r="I12" s="15" t="n">
        <v>-0.029</v>
      </c>
      <c r="J12" s="15" t="n">
        <v>-0.069910005</v>
      </c>
      <c r="K12" s="15" t="n">
        <v>-0.10075</v>
      </c>
      <c r="L12" s="19" t="n">
        <v>21</v>
      </c>
      <c r="M12" s="14" t="inlineStr">
        <is>
          <t>B (吸筹震荡)</t>
        </is>
      </c>
      <c r="N12" s="20" t="n">
        <v>0.3</v>
      </c>
      <c r="O12" s="16" t="n">
        <v>1467.633928571429</v>
      </c>
      <c r="P12" s="14" t="inlineStr">
        <is>
          <t>突破 75.28 加 / 回踩 63.53 不破再加</t>
        </is>
      </c>
      <c r="Q12" s="21" t="n">
        <v>59.08</v>
      </c>
    </row>
    <row r="14">
      <c r="A14" s="22" t="inlineStr">
        <is>
          <t>总计</t>
        </is>
      </c>
      <c r="B14" s="22" t="n"/>
      <c r="C14" s="22" t="n"/>
      <c r="D14" s="23">
        <f>SUM(D5:D12)</f>
        <v/>
      </c>
      <c r="E14" s="24">
        <f>SUM(E5:E12)</f>
        <v/>
      </c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4">
        <f>SUM(O5:O12)</f>
        <v/>
      </c>
      <c r="P14" s="22" t="n"/>
      <c r="Q14" s="22" t="n"/>
    </row>
  </sheetData>
  <mergeCells count="2">
    <mergeCell ref="A2:Q2"/>
    <mergeCell ref="A1:Q1"/>
  </mergeCells>
  <conditionalFormatting sqref="C5:C12">
    <cfRule type="colorScale" priority="1">
      <colorScale>
        <cfvo type="num" val="0"/>
        <cfvo type="num" val="40"/>
        <cfvo type="num" val="80"/>
        <color rgb="00F8696B"/>
        <color rgb="00FFEB84"/>
        <color rgb="0063BE7B"/>
      </colorScale>
    </cfRule>
  </conditionalFormatting>
  <conditionalFormatting sqref="D5:D12">
    <cfRule type="dataBar" priority="2">
      <dataBar>
        <cfvo type="min"/>
        <cfvo type="max"/>
        <color rgb="005B9BD5"/>
      </dataBar>
    </cfRule>
  </conditionalFormatting>
  <conditionalFormatting sqref="E5:E12">
    <cfRule type="dataBar" priority="3">
      <dataBar>
        <cfvo type="min"/>
        <cfvo type="max"/>
        <color rgb="0070AD47"/>
      </dataBar>
    </cfRule>
  </conditionalFormatting>
  <conditionalFormatting sqref="I5:I12">
    <cfRule type="colorScale" priority="4">
      <colorScale>
        <cfvo type="num" val="-0.3"/>
        <cfvo type="num" val="0"/>
        <cfvo type="num" val="0.5"/>
        <color rgb="00F8696B"/>
        <color rgb="00FFFFFF"/>
        <color rgb="0063BE7B"/>
      </colorScale>
    </cfRule>
  </conditionalFormatting>
  <conditionalFormatting sqref="J5:J12">
    <cfRule type="colorScale" priority="5">
      <colorScale>
        <cfvo type="num" val="-0.1"/>
        <cfvo type="num" val="0"/>
        <cfvo type="num" val="0.3"/>
        <color rgb="00F8696B"/>
        <color rgb="00FFFFFF"/>
        <color rgb="0063BE7B"/>
      </colorScale>
    </cfRule>
  </conditionalFormatting>
  <conditionalFormatting sqref="K5:K12">
    <cfRule type="colorScale" priority="6">
      <colorScale>
        <cfvo type="num" val="-0.1"/>
        <cfvo type="num" val="0"/>
        <cfvo type="num" val="0.3"/>
        <color rgb="00F8696B"/>
        <color rgb="00FFFFFF"/>
        <color rgb="0063BE7B"/>
      </colorScale>
    </cfRule>
  </conditionalFormatting>
  <conditionalFormatting sqref="L5:L12">
    <cfRule type="colorScale" priority="7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N5:N12">
    <cfRule type="dataBar" priority="8">
      <dataBar>
        <cfvo type="num" val="0"/>
        <cfvo type="num" val="1"/>
        <color rgb="0000B050"/>
      </dataBar>
    </cfRule>
  </conditionalFormatting>
  <conditionalFormatting sqref="O5:O12">
    <cfRule type="dataBar" priority="9">
      <dataBar>
        <cfvo type="min"/>
        <cfvo type="max"/>
        <color rgb="0000B050"/>
      </dataBar>
    </cfRule>
  </conditionalFormatting>
  <conditionalFormatting sqref="A5:Q12">
    <cfRule type="expression" priority="10" dxfId="0">
      <formula>ISNUMBER(SEARCH("Spring",$M5))</formula>
    </cfRule>
    <cfRule type="expression" priority="11" dxfId="1">
      <formula>ISNUMBER(SEARCH("SOS",$M5))</formula>
    </cfRule>
    <cfRule type="expression" priority="12" dxfId="1">
      <formula>ISNUMBER(SEARCH("E (",$M5))</formula>
    </cfRule>
    <cfRule type="expression" priority="13" dxfId="2">
      <formula>ISNUMBER(SEARCH("吸筹",$M5))</formula>
    </cfRule>
    <cfRule type="expression" priority="14" dxfId="3">
      <formula>OR(ISNUMBER(SEARCH("UTAD",$M5)),ISNUMBER(SEARCH("派发",$M5)),ISNUMBER(SEARCH("SOW",$M5)),ISNUMBER(SEARCH("顶部",$M5)))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9" customWidth="1" min="3" max="3"/>
    <col width="9" customWidth="1" min="4" max="4"/>
    <col width="11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1" customWidth="1" min="12" max="12"/>
    <col width="22" customWidth="1" min="13" max="13"/>
    <col width="9" customWidth="1" min="14" max="14"/>
    <col width="11" customWidth="1" min="15" max="15"/>
    <col width="30" customWidth="1" min="16" max="16"/>
    <col width="9" customWidth="1" min="17" max="17"/>
  </cols>
  <sheetData>
    <row r="1">
      <c r="A1" s="8" t="inlineStr">
        <is>
          <t>港股 AI (8 只) - 资金分配 + Wyckoff</t>
        </is>
      </c>
    </row>
    <row r="2">
      <c r="A2" s="2" t="inlineStr">
        <is>
          <t>总资金 HK$100,000 | 首批仓位按 Wyckoff 阶段调整</t>
        </is>
      </c>
    </row>
    <row r="4">
      <c r="A4" s="12" t="inlineStr">
        <is>
          <t>代码</t>
        </is>
      </c>
      <c r="B4" s="12" t="inlineStr">
        <is>
          <t>名称</t>
        </is>
      </c>
      <c r="C4" s="12" t="inlineStr">
        <is>
          <t>综合分</t>
        </is>
      </c>
      <c r="D4" s="12" t="inlineStr">
        <is>
          <t>分配 %</t>
        </is>
      </c>
      <c r="E4" s="12" t="inlineStr">
        <is>
          <t>理论金额</t>
        </is>
      </c>
      <c r="F4" s="12" t="inlineStr">
        <is>
          <t>股价</t>
        </is>
      </c>
      <c r="G4" s="12" t="inlineStr">
        <is>
          <t>市值</t>
        </is>
      </c>
      <c r="H4" s="12" t="inlineStr">
        <is>
          <t>PE</t>
        </is>
      </c>
      <c r="I4" s="12" t="inlineStr">
        <is>
          <t>营收增长</t>
        </is>
      </c>
      <c r="J4" s="12" t="inlineStr">
        <is>
          <t>利润率</t>
        </is>
      </c>
      <c r="K4" s="12" t="inlineStr">
        <is>
          <t>ROE</t>
        </is>
      </c>
      <c r="L4" s="12" t="inlineStr">
        <is>
          <t>位置 %</t>
        </is>
      </c>
      <c r="M4" s="12" t="inlineStr">
        <is>
          <t>Wyckoff 阶段</t>
        </is>
      </c>
      <c r="N4" s="12" t="inlineStr">
        <is>
          <t>首批 %</t>
        </is>
      </c>
      <c r="O4" s="12" t="inlineStr">
        <is>
          <t>首批金额</t>
        </is>
      </c>
      <c r="P4" s="12" t="inlineStr">
        <is>
          <t>第二批触发</t>
        </is>
      </c>
      <c r="Q4" s="12" t="inlineStr">
        <is>
          <t>止损</t>
        </is>
      </c>
    </row>
    <row r="5">
      <c r="A5" s="13" t="inlineStr">
        <is>
          <t>1024.HK</t>
        </is>
      </c>
      <c r="B5" s="14" t="inlineStr">
        <is>
          <t>快手</t>
        </is>
      </c>
      <c r="C5" s="13" t="n">
        <v>61</v>
      </c>
      <c r="D5" s="15" t="n">
        <v>0.1803133313626958</v>
      </c>
      <c r="E5" s="25" t="n">
        <v>18031.33313626958</v>
      </c>
      <c r="F5" s="13" t="n">
        <v>52.6</v>
      </c>
      <c r="G5" s="17" t="n">
        <v>223845728256</v>
      </c>
      <c r="H5" s="18" t="n">
        <v>10.595483</v>
      </c>
      <c r="I5" s="15" t="n">
        <v>0.118</v>
      </c>
      <c r="J5" s="15" t="n">
        <v>0.13038999</v>
      </c>
      <c r="K5" s="15" t="n">
        <v>0.26304</v>
      </c>
      <c r="L5" s="19" t="n">
        <v>21.1</v>
      </c>
      <c r="M5" s="14" t="inlineStr">
        <is>
          <t>B (吸筹震荡)</t>
        </is>
      </c>
      <c r="N5" s="20" t="n">
        <v>0.3</v>
      </c>
      <c r="O5" s="25" t="n">
        <v>5409.399940880875</v>
      </c>
      <c r="P5" s="14" t="inlineStr">
        <is>
          <t>突破 58.55 加 / 回踩 41.92 不破再加</t>
        </is>
      </c>
      <c r="Q5" s="21" t="n">
        <v>38.99</v>
      </c>
    </row>
    <row r="6">
      <c r="A6" s="13" t="inlineStr">
        <is>
          <t>1810.HK</t>
        </is>
      </c>
      <c r="B6" s="14" t="inlineStr">
        <is>
          <t>小米集团</t>
        </is>
      </c>
      <c r="C6" s="13" t="n">
        <v>60</v>
      </c>
      <c r="D6" s="15" t="n">
        <v>0.1773573751108483</v>
      </c>
      <c r="E6" s="25" t="n">
        <v>17735.73751108483</v>
      </c>
      <c r="F6" s="13" t="n">
        <v>31.46</v>
      </c>
      <c r="G6" s="17" t="n">
        <v>821219557376</v>
      </c>
      <c r="H6" s="18" t="n">
        <v>17.666666</v>
      </c>
      <c r="I6" s="15" t="n">
        <v>0.073</v>
      </c>
      <c r="J6" s="15" t="n">
        <v>0.091070004</v>
      </c>
      <c r="K6" s="15" t="n">
        <v>0.1825</v>
      </c>
      <c r="L6" s="19" t="n">
        <v>8.1</v>
      </c>
      <c r="M6" s="14" t="inlineStr">
        <is>
          <t>C (Spring)</t>
        </is>
      </c>
      <c r="N6" s="20" t="n">
        <v>0.6</v>
      </c>
      <c r="O6" s="25" t="n">
        <v>10641.4425066509</v>
      </c>
      <c r="P6" s="14" t="inlineStr">
        <is>
          <t>突破 33.03(+5%) 加仓</t>
        </is>
      </c>
      <c r="Q6" s="21" t="n">
        <v>29.93</v>
      </c>
    </row>
    <row r="7">
      <c r="A7" s="13" t="inlineStr">
        <is>
          <t>2382.HK</t>
        </is>
      </c>
      <c r="B7" s="14" t="inlineStr">
        <is>
          <t>舜宇光学</t>
        </is>
      </c>
      <c r="C7" s="13" t="n">
        <v>53</v>
      </c>
      <c r="D7" s="15" t="n">
        <v>0.1566656813479161</v>
      </c>
      <c r="E7" s="25" t="n">
        <v>15666.56813479161</v>
      </c>
      <c r="F7" s="13" t="n">
        <v>63.5</v>
      </c>
      <c r="G7" s="17" t="n">
        <v>70680707072</v>
      </c>
      <c r="H7" s="18" t="n">
        <v>13.456034</v>
      </c>
      <c r="I7" s="15" t="n">
        <v>0.213</v>
      </c>
      <c r="J7" s="15" t="n">
        <v>0.10731</v>
      </c>
      <c r="K7" s="15" t="n">
        <v>0.17462</v>
      </c>
      <c r="L7" s="19" t="n">
        <v>30.1</v>
      </c>
      <c r="M7" s="14" t="inlineStr">
        <is>
          <t>B (吸筹震荡)</t>
        </is>
      </c>
      <c r="N7" s="20" t="n">
        <v>0.3</v>
      </c>
      <c r="O7" s="25" t="n">
        <v>4699.970440437482</v>
      </c>
      <c r="P7" s="14" t="inlineStr">
        <is>
          <t>突破 69.26 加 / 回踩 61.55 不破再加</t>
        </is>
      </c>
      <c r="Q7" s="21" t="n">
        <v>57.24</v>
      </c>
    </row>
    <row r="8">
      <c r="A8" s="13" t="inlineStr">
        <is>
          <t>0285.HK</t>
        </is>
      </c>
      <c r="B8" s="14" t="inlineStr">
        <is>
          <t>比亚迪电子</t>
        </is>
      </c>
      <c r="C8" s="13" t="n">
        <v>50</v>
      </c>
      <c r="D8" s="15" t="n">
        <v>0.1477978125923737</v>
      </c>
      <c r="E8" s="25" t="n">
        <v>14779.78125923736</v>
      </c>
      <c r="F8" s="13" t="n">
        <v>28.32</v>
      </c>
      <c r="G8" s="17" t="n">
        <v>64283623424</v>
      </c>
      <c r="H8" s="18" t="n">
        <v>15.900001</v>
      </c>
      <c r="I8" s="15" t="n">
        <v>0.001</v>
      </c>
      <c r="J8" s="15" t="n">
        <v>0.01958</v>
      </c>
      <c r="K8" s="15" t="n">
        <v>0.10516</v>
      </c>
      <c r="L8" s="19" t="n">
        <v>18.3</v>
      </c>
      <c r="M8" s="14" t="inlineStr">
        <is>
          <t>B (吸筹震荡)</t>
        </is>
      </c>
      <c r="N8" s="20" t="n">
        <v>0.3</v>
      </c>
      <c r="O8" s="25" t="n">
        <v>4433.934377771209</v>
      </c>
      <c r="P8" s="14" t="inlineStr">
        <is>
          <t>突破 29.54 加 / 回踩 24.20 不破再加</t>
        </is>
      </c>
      <c r="Q8" s="21" t="n">
        <v>22.51</v>
      </c>
    </row>
    <row r="9">
      <c r="A9" s="13" t="inlineStr">
        <is>
          <t>0700.HK</t>
        </is>
      </c>
      <c r="B9" s="14" t="inlineStr">
        <is>
          <t>腾讯控股</t>
        </is>
      </c>
      <c r="C9" s="13" t="n">
        <v>43</v>
      </c>
      <c r="D9" s="15" t="n">
        <v>0.1271061188294413</v>
      </c>
      <c r="E9" s="25" t="n">
        <v>12710.61188294413</v>
      </c>
      <c r="F9" s="13" t="n">
        <v>457.2</v>
      </c>
      <c r="G9" s="17" t="n">
        <v>4180469612544</v>
      </c>
      <c r="H9" s="18" t="n">
        <v>16.64029</v>
      </c>
      <c r="I9" s="15" t="n">
        <v>0.127</v>
      </c>
      <c r="J9" s="15" t="n">
        <v>0.29909</v>
      </c>
      <c r="K9" s="15" t="n">
        <v>0.20027</v>
      </c>
      <c r="L9" s="19" t="n">
        <v>0</v>
      </c>
      <c r="M9" s="14" t="inlineStr">
        <is>
          <t>A/B (筑底中)</t>
        </is>
      </c>
      <c r="N9" s="20" t="n">
        <v>0.15</v>
      </c>
      <c r="O9" s="25" t="n">
        <v>1906.59178244162</v>
      </c>
      <c r="P9" s="14" t="inlineStr">
        <is>
          <t>等待突破 542.29(确认 SOS)再建主仓</t>
        </is>
      </c>
      <c r="Q9" s="21" t="n">
        <v>420.62</v>
      </c>
    </row>
    <row r="10">
      <c r="A10" s="13" t="inlineStr">
        <is>
          <t>9868.HK</t>
        </is>
      </c>
      <c r="B10" s="14" t="inlineStr">
        <is>
          <t>小鹏汽车</t>
        </is>
      </c>
      <c r="C10" s="13" t="n">
        <v>38</v>
      </c>
      <c r="D10" s="15" t="n">
        <v>0.112326337570204</v>
      </c>
      <c r="E10" s="25" t="n">
        <v>11232.6337570204</v>
      </c>
      <c r="F10" s="13" t="n">
        <v>62.6</v>
      </c>
      <c r="G10" s="17" t="n">
        <v>119277690880</v>
      </c>
      <c r="H10" s="18" t="n"/>
      <c r="I10" s="15" t="n">
        <v>0.382</v>
      </c>
      <c r="J10" s="15" t="n">
        <v>-0.01485</v>
      </c>
      <c r="K10" s="15" t="n">
        <v>-0.03697</v>
      </c>
      <c r="L10" s="19" t="n">
        <v>4.7</v>
      </c>
      <c r="M10" s="14" t="inlineStr">
        <is>
          <t>A/B (筑底中)</t>
        </is>
      </c>
      <c r="N10" s="20" t="n">
        <v>0.15</v>
      </c>
      <c r="O10" s="25" t="n">
        <v>1684.895063553059</v>
      </c>
      <c r="P10" s="14" t="inlineStr">
        <is>
          <t>等待突破 75.50(确认 SOS)再建主仓</t>
        </is>
      </c>
      <c r="Q10" s="21" t="n">
        <v>57.59</v>
      </c>
    </row>
    <row r="11">
      <c r="A11" s="13" t="inlineStr">
        <is>
          <t>2015.HK</t>
        </is>
      </c>
      <c r="B11" s="14" t="inlineStr">
        <is>
          <t>理想汽车</t>
        </is>
      </c>
      <c r="C11" s="13" t="n">
        <v>15</v>
      </c>
      <c r="D11" s="15" t="n">
        <v>0.04921667159326042</v>
      </c>
      <c r="E11" s="25" t="n">
        <v>4921.667159326043</v>
      </c>
      <c r="F11" s="13" t="n">
        <v>73.40000000000001</v>
      </c>
      <c r="G11" s="17" t="n">
        <v>150343860224</v>
      </c>
      <c r="H11" s="18" t="n">
        <v>118.79032</v>
      </c>
      <c r="I11" s="15" t="n">
        <v>-0.35</v>
      </c>
      <c r="J11" s="15" t="n">
        <v>0.01001</v>
      </c>
      <c r="K11" s="15" t="n">
        <v>0.01577</v>
      </c>
      <c r="L11" s="19" t="n">
        <v>18.3</v>
      </c>
      <c r="M11" s="14" t="inlineStr">
        <is>
          <t>B (吸筹震荡)</t>
        </is>
      </c>
      <c r="N11" s="20" t="n">
        <v>0.3</v>
      </c>
      <c r="O11" s="25" t="n">
        <v>1476.500147797813</v>
      </c>
      <c r="P11" s="14" t="inlineStr">
        <is>
          <t>突破 76.65 加 / 回踩 66.60 不破再加</t>
        </is>
      </c>
      <c r="Q11" s="21" t="n">
        <v>61.94</v>
      </c>
    </row>
    <row r="12">
      <c r="A12" s="13" t="inlineStr">
        <is>
          <t>3690.HK</t>
        </is>
      </c>
      <c r="B12" s="14" t="inlineStr">
        <is>
          <t>美团</t>
        </is>
      </c>
      <c r="C12" s="13" t="n">
        <v>13</v>
      </c>
      <c r="D12" s="15" t="n">
        <v>0.04921667159326042</v>
      </c>
      <c r="E12" s="25" t="n">
        <v>4921.667159326043</v>
      </c>
      <c r="F12" s="13" t="n">
        <v>84.15000000000001</v>
      </c>
      <c r="G12" s="17" t="n">
        <v>540875948032</v>
      </c>
      <c r="H12" s="18" t="n"/>
      <c r="I12" s="15" t="n">
        <v>0.028</v>
      </c>
      <c r="J12" s="15" t="n">
        <v>-0.06401</v>
      </c>
      <c r="K12" s="15" t="n">
        <v>-0.14434</v>
      </c>
      <c r="L12" s="19" t="n">
        <v>13.8</v>
      </c>
      <c r="M12" s="14" t="inlineStr">
        <is>
          <t>A (止跌)</t>
        </is>
      </c>
      <c r="N12" s="20" t="n">
        <v>0.15</v>
      </c>
      <c r="O12" s="25" t="n">
        <v>738.2500738989064</v>
      </c>
      <c r="P12" s="14" t="inlineStr">
        <is>
          <t>等待突破 93.58(确认 SOS)再建主仓</t>
        </is>
      </c>
      <c r="Q12" s="21" t="n">
        <v>77.42</v>
      </c>
    </row>
    <row r="14">
      <c r="A14" s="22" t="inlineStr">
        <is>
          <t>总计</t>
        </is>
      </c>
      <c r="B14" s="22" t="n"/>
      <c r="C14" s="22" t="n"/>
      <c r="D14" s="23">
        <f>SUM(D5:D12)</f>
        <v/>
      </c>
      <c r="E14" s="26">
        <f>SUM(E5:E12)</f>
        <v/>
      </c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6">
        <f>SUM(O5:O12)</f>
        <v/>
      </c>
      <c r="P14" s="22" t="n"/>
      <c r="Q14" s="22" t="n"/>
    </row>
  </sheetData>
  <mergeCells count="2">
    <mergeCell ref="A2:Q2"/>
    <mergeCell ref="A1:Q1"/>
  </mergeCells>
  <conditionalFormatting sqref="C5:C12">
    <cfRule type="colorScale" priority="1">
      <colorScale>
        <cfvo type="num" val="0"/>
        <cfvo type="num" val="40"/>
        <cfvo type="num" val="80"/>
        <color rgb="00F8696B"/>
        <color rgb="00FFEB84"/>
        <color rgb="0063BE7B"/>
      </colorScale>
    </cfRule>
  </conditionalFormatting>
  <conditionalFormatting sqref="D5:D12">
    <cfRule type="dataBar" priority="2">
      <dataBar>
        <cfvo type="min"/>
        <cfvo type="max"/>
        <color rgb="005B9BD5"/>
      </dataBar>
    </cfRule>
  </conditionalFormatting>
  <conditionalFormatting sqref="E5:E12">
    <cfRule type="dataBar" priority="3">
      <dataBar>
        <cfvo type="min"/>
        <cfvo type="max"/>
        <color rgb="0070AD47"/>
      </dataBar>
    </cfRule>
  </conditionalFormatting>
  <conditionalFormatting sqref="I5:I12">
    <cfRule type="colorScale" priority="4">
      <colorScale>
        <cfvo type="num" val="-0.3"/>
        <cfvo type="num" val="0"/>
        <cfvo type="num" val="0.5"/>
        <color rgb="00F8696B"/>
        <color rgb="00FFFFFF"/>
        <color rgb="0063BE7B"/>
      </colorScale>
    </cfRule>
  </conditionalFormatting>
  <conditionalFormatting sqref="J5:J12">
    <cfRule type="colorScale" priority="5">
      <colorScale>
        <cfvo type="num" val="-0.1"/>
        <cfvo type="num" val="0"/>
        <cfvo type="num" val="0.3"/>
        <color rgb="00F8696B"/>
        <color rgb="00FFFFFF"/>
        <color rgb="0063BE7B"/>
      </colorScale>
    </cfRule>
  </conditionalFormatting>
  <conditionalFormatting sqref="K5:K12">
    <cfRule type="colorScale" priority="6">
      <colorScale>
        <cfvo type="num" val="-0.1"/>
        <cfvo type="num" val="0"/>
        <cfvo type="num" val="0.3"/>
        <color rgb="00F8696B"/>
        <color rgb="00FFFFFF"/>
        <color rgb="0063BE7B"/>
      </colorScale>
    </cfRule>
  </conditionalFormatting>
  <conditionalFormatting sqref="L5:L12">
    <cfRule type="colorScale" priority="7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N5:N12">
    <cfRule type="dataBar" priority="8">
      <dataBar>
        <cfvo type="num" val="0"/>
        <cfvo type="num" val="1"/>
        <color rgb="0000B050"/>
      </dataBar>
    </cfRule>
  </conditionalFormatting>
  <conditionalFormatting sqref="O5:O12">
    <cfRule type="dataBar" priority="9">
      <dataBar>
        <cfvo type="min"/>
        <cfvo type="max"/>
        <color rgb="0000B050"/>
      </dataBar>
    </cfRule>
  </conditionalFormatting>
  <conditionalFormatting sqref="A5:Q12">
    <cfRule type="expression" priority="10" dxfId="0">
      <formula>ISNUMBER(SEARCH("Spring",$M5))</formula>
    </cfRule>
    <cfRule type="expression" priority="11" dxfId="1">
      <formula>ISNUMBER(SEARCH("SOS",$M5))</formula>
    </cfRule>
    <cfRule type="expression" priority="12" dxfId="1">
      <formula>ISNUMBER(SEARCH("E (",$M5))</formula>
    </cfRule>
    <cfRule type="expression" priority="13" dxfId="2">
      <formula>ISNUMBER(SEARCH("吸筹",$M5))</formula>
    </cfRule>
    <cfRule type="expression" priority="14" dxfId="3">
      <formula>OR(ISNUMBER(SEARCH("UTAD",$M5)),ISNUMBER(SEARCH("派发",$M5)),ISNUMBER(SEARCH("SOW",$M5)),ISNUMBER(SEARCH("顶部",$M5)))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9" customWidth="1" min="3" max="3"/>
    <col width="9" customWidth="1" min="4" max="4"/>
    <col width="11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1" customWidth="1" min="12" max="12"/>
    <col width="22" customWidth="1" min="13" max="13"/>
    <col width="9" customWidth="1" min="14" max="14"/>
    <col width="11" customWidth="1" min="15" max="15"/>
    <col width="30" customWidth="1" min="16" max="16"/>
    <col width="9" customWidth="1" min="17" max="17"/>
  </cols>
  <sheetData>
    <row r="1">
      <c r="A1" s="8" t="inlineStr">
        <is>
          <t>A 股 新能源 (8 只) - 资金分配 + Wyckoff</t>
        </is>
      </c>
    </row>
    <row r="2">
      <c r="A2" s="2" t="inlineStr">
        <is>
          <t>总资金 ¥100,000 | 首批仓位按 Wyckoff 阶段调整</t>
        </is>
      </c>
    </row>
    <row r="4">
      <c r="A4" s="12" t="inlineStr">
        <is>
          <t>代码</t>
        </is>
      </c>
      <c r="B4" s="12" t="inlineStr">
        <is>
          <t>名称</t>
        </is>
      </c>
      <c r="C4" s="12" t="inlineStr">
        <is>
          <t>综合分</t>
        </is>
      </c>
      <c r="D4" s="12" t="inlineStr">
        <is>
          <t>分配 %</t>
        </is>
      </c>
      <c r="E4" s="12" t="inlineStr">
        <is>
          <t>理论金额</t>
        </is>
      </c>
      <c r="F4" s="12" t="inlineStr">
        <is>
          <t>股价</t>
        </is>
      </c>
      <c r="G4" s="12" t="inlineStr">
        <is>
          <t>市值</t>
        </is>
      </c>
      <c r="H4" s="12" t="inlineStr">
        <is>
          <t>PE</t>
        </is>
      </c>
      <c r="I4" s="12" t="inlineStr">
        <is>
          <t>营收增长</t>
        </is>
      </c>
      <c r="J4" s="12" t="inlineStr">
        <is>
          <t>利润率</t>
        </is>
      </c>
      <c r="K4" s="12" t="inlineStr">
        <is>
          <t>ROE</t>
        </is>
      </c>
      <c r="L4" s="12" t="inlineStr">
        <is>
          <t>位置 %</t>
        </is>
      </c>
      <c r="M4" s="12" t="inlineStr">
        <is>
          <t>Wyckoff 阶段</t>
        </is>
      </c>
      <c r="N4" s="12" t="inlineStr">
        <is>
          <t>首批 %</t>
        </is>
      </c>
      <c r="O4" s="12" t="inlineStr">
        <is>
          <t>首批金额</t>
        </is>
      </c>
      <c r="P4" s="12" t="inlineStr">
        <is>
          <t>第二批触发</t>
        </is>
      </c>
      <c r="Q4" s="12" t="inlineStr">
        <is>
          <t>止损</t>
        </is>
      </c>
    </row>
    <row r="5">
      <c r="A5" s="13" t="inlineStr">
        <is>
          <t>601633.SS</t>
        </is>
      </c>
      <c r="B5" s="14" t="inlineStr">
        <is>
          <t>长城汽车</t>
        </is>
      </c>
      <c r="C5" s="13" t="n">
        <v>60</v>
      </c>
      <c r="D5" s="15" t="n">
        <v>0.2382795223352498</v>
      </c>
      <c r="E5" s="16" t="n">
        <v>23827.95223352499</v>
      </c>
      <c r="F5" s="13" t="n">
        <v>19.71</v>
      </c>
      <c r="G5" s="17" t="n">
        <v>167212662784</v>
      </c>
      <c r="H5" s="18" t="n">
        <v>16.84483</v>
      </c>
      <c r="I5" s="15" t="n">
        <v>0.127</v>
      </c>
      <c r="J5" s="15" t="n">
        <v>0.03975</v>
      </c>
      <c r="K5" s="15" t="n">
        <v>0.10584</v>
      </c>
      <c r="L5" s="19" t="n">
        <v>0.8</v>
      </c>
      <c r="M5" s="14" t="inlineStr">
        <is>
          <t>A/B (筑底中)</t>
        </is>
      </c>
      <c r="N5" s="20" t="n">
        <v>0.15</v>
      </c>
      <c r="O5" s="16" t="n">
        <v>3574.192835028748</v>
      </c>
      <c r="P5" s="14" t="inlineStr">
        <is>
          <t>等待突破 22.20(确认 SOS)再建主仓</t>
        </is>
      </c>
      <c r="Q5" s="21" t="n">
        <v>18.13</v>
      </c>
    </row>
    <row r="6">
      <c r="A6" s="13" t="inlineStr">
        <is>
          <t>600104.SS</t>
        </is>
      </c>
      <c r="B6" s="14" t="inlineStr">
        <is>
          <t>上汽集团</t>
        </is>
      </c>
      <c r="C6" s="13" t="n">
        <v>55</v>
      </c>
      <c r="D6" s="15" t="n">
        <v>0.2382795223352498</v>
      </c>
      <c r="E6" s="16" t="n">
        <v>23827.95223352499</v>
      </c>
      <c r="F6" s="13" t="n">
        <v>13.4</v>
      </c>
      <c r="G6" s="17" t="n">
        <v>152887197696</v>
      </c>
      <c r="H6" s="18" t="n">
        <v>14.943821</v>
      </c>
      <c r="I6" s="15" t="n">
        <v>-0.003</v>
      </c>
      <c r="J6" s="15" t="n">
        <v>0.01541</v>
      </c>
      <c r="K6" s="15" t="n">
        <v>0.049450003</v>
      </c>
      <c r="L6" s="19" t="n">
        <v>0.1</v>
      </c>
      <c r="M6" s="14" t="inlineStr">
        <is>
          <t>A/B (筑底中)</t>
        </is>
      </c>
      <c r="N6" s="20" t="n">
        <v>0.15</v>
      </c>
      <c r="O6" s="16" t="n">
        <v>3574.192835028748</v>
      </c>
      <c r="P6" s="14" t="inlineStr">
        <is>
          <t>等待突破 15.29(确认 SOS)再建主仓</t>
        </is>
      </c>
      <c r="Q6" s="21" t="n">
        <v>12.33</v>
      </c>
    </row>
    <row r="7">
      <c r="A7" s="13" t="inlineStr">
        <is>
          <t>000625.SZ</t>
        </is>
      </c>
      <c r="B7" s="14" t="inlineStr">
        <is>
          <t>长安汽车</t>
        </is>
      </c>
      <c r="C7" s="13" t="n">
        <v>50</v>
      </c>
      <c r="D7" s="15" t="n">
        <v>0.2371738168951791</v>
      </c>
      <c r="E7" s="16" t="n">
        <v>23717.38168951791</v>
      </c>
      <c r="F7" s="13" t="n">
        <v>9.17</v>
      </c>
      <c r="G7" s="17" t="n">
        <v>90108485632</v>
      </c>
      <c r="H7" s="18" t="n">
        <v>29.32258</v>
      </c>
      <c r="I7" s="15" t="n">
        <v>-0.043</v>
      </c>
      <c r="J7" s="15" t="n">
        <v>0.01891</v>
      </c>
      <c r="K7" s="15" t="n">
        <v>0.02676</v>
      </c>
      <c r="L7" s="19" t="n">
        <v>0.2</v>
      </c>
      <c r="M7" s="14" t="inlineStr">
        <is>
          <t>C (Spring)</t>
        </is>
      </c>
      <c r="N7" s="20" t="n">
        <v>0.6</v>
      </c>
      <c r="O7" s="16" t="n">
        <v>14230.42901371074</v>
      </c>
      <c r="P7" s="14" t="inlineStr">
        <is>
          <t>突破 9.63(+5%) 加仓</t>
        </is>
      </c>
      <c r="Q7" s="21" t="n">
        <v>9.6</v>
      </c>
    </row>
    <row r="8">
      <c r="A8" s="13" t="inlineStr">
        <is>
          <t>002594.SZ</t>
        </is>
      </c>
      <c r="B8" s="14" t="inlineStr">
        <is>
          <t>比亚迪</t>
        </is>
      </c>
      <c r="C8" s="13" t="n">
        <v>18</v>
      </c>
      <c r="D8" s="15" t="n">
        <v>0.09564352056612115</v>
      </c>
      <c r="E8" s="16" t="n">
        <v>9564.352056612115</v>
      </c>
      <c r="F8" s="13" t="n">
        <v>99.23</v>
      </c>
      <c r="G8" s="17" t="n">
        <v>898955673600</v>
      </c>
      <c r="H8" s="18" t="n">
        <v>50.82474</v>
      </c>
      <c r="I8" s="15" t="n">
        <v>-0.118</v>
      </c>
      <c r="J8" s="15" t="n">
        <v>0.035150003</v>
      </c>
      <c r="K8" s="15" t="n">
        <v>0.11147001</v>
      </c>
      <c r="L8" s="19" t="n">
        <v>26.1</v>
      </c>
      <c r="M8" s="14" t="inlineStr">
        <is>
          <t>B (吸筹震荡)</t>
        </is>
      </c>
      <c r="N8" s="20" t="n">
        <v>0.3</v>
      </c>
      <c r="O8" s="16" t="n">
        <v>2869.305616983635</v>
      </c>
      <c r="P8" s="14" t="inlineStr">
        <is>
          <t>突破 108.09 加 / 回踩 98.70 不破再加</t>
        </is>
      </c>
      <c r="Q8" s="21" t="n">
        <v>91.79000000000001</v>
      </c>
    </row>
    <row r="9">
      <c r="A9" s="13" t="inlineStr">
        <is>
          <t>601615.SS</t>
        </is>
      </c>
      <c r="B9" s="14" t="inlineStr">
        <is>
          <t>明阳智能</t>
        </is>
      </c>
      <c r="C9" s="13" t="n">
        <v>7</v>
      </c>
      <c r="D9" s="15" t="n">
        <v>0.04765590446704997</v>
      </c>
      <c r="E9" s="16" t="n">
        <v>4765.590446704997</v>
      </c>
      <c r="F9" s="13" t="n">
        <v>16.43</v>
      </c>
      <c r="G9" s="17" t="n">
        <v>37540847616</v>
      </c>
      <c r="H9" s="18" t="n">
        <v>87.36842</v>
      </c>
      <c r="I9" s="15" t="n">
        <v>0.124</v>
      </c>
      <c r="J9" s="15" t="n">
        <v>0.00979</v>
      </c>
      <c r="K9" s="15" t="n">
        <v>0.0149300005</v>
      </c>
      <c r="L9" s="19" t="n">
        <v>39.6</v>
      </c>
      <c r="M9" s="14" t="inlineStr">
        <is>
          <t>D (SOW 下跌)</t>
        </is>
      </c>
      <c r="N9" s="20" t="n">
        <v>0</v>
      </c>
      <c r="O9" s="16" t="n">
        <v>0</v>
      </c>
      <c r="P9" s="14" t="inlineStr">
        <is>
          <t>等待跌至 MA200 15.94 附近企稳</t>
        </is>
      </c>
      <c r="Q9" s="21" t="n"/>
    </row>
    <row r="10">
      <c r="A10" s="13" t="inlineStr">
        <is>
          <t>601012.SS</t>
        </is>
      </c>
      <c r="B10" s="14" t="inlineStr">
        <is>
          <t>隆基绿能</t>
        </is>
      </c>
      <c r="C10" s="13" t="n">
        <v>6</v>
      </c>
      <c r="D10" s="15" t="n">
        <v>0.04765590446704997</v>
      </c>
      <c r="E10" s="16" t="n">
        <v>4765.590446704997</v>
      </c>
      <c r="F10" s="13" t="n">
        <v>16.7</v>
      </c>
      <c r="G10" s="17" t="n">
        <v>127159951360</v>
      </c>
      <c r="H10" s="18" t="n"/>
      <c r="I10" s="15" t="n">
        <v>-0.18</v>
      </c>
      <c r="J10" s="15" t="n">
        <v>-0.10177</v>
      </c>
      <c r="K10" s="15" t="n">
        <v>-0.12607999</v>
      </c>
      <c r="L10" s="19" t="n">
        <v>27.7</v>
      </c>
      <c r="M10" s="14" t="inlineStr">
        <is>
          <t>B (吸筹震荡)</t>
        </is>
      </c>
      <c r="N10" s="20" t="n">
        <v>0.3</v>
      </c>
      <c r="O10" s="16" t="n">
        <v>1429.677134011499</v>
      </c>
      <c r="P10" s="14" t="inlineStr">
        <is>
          <t>突破 18.38 加 / 回踩 15.82 不破再加</t>
        </is>
      </c>
      <c r="Q10" s="21" t="n">
        <v>14.71</v>
      </c>
    </row>
    <row r="11">
      <c r="A11" s="13" t="inlineStr">
        <is>
          <t>688599.SS</t>
        </is>
      </c>
      <c r="B11" s="14" t="inlineStr">
        <is>
          <t>天合光能</t>
        </is>
      </c>
      <c r="C11" s="13" t="n">
        <v>5</v>
      </c>
      <c r="D11" s="15" t="n">
        <v>0.04765590446704997</v>
      </c>
      <c r="E11" s="16" t="n">
        <v>4765.590446704997</v>
      </c>
      <c r="F11" s="13" t="n">
        <v>18.11</v>
      </c>
      <c r="G11" s="17" t="n">
        <v>42915840000</v>
      </c>
      <c r="H11" s="18" t="n"/>
      <c r="I11" s="15" t="n">
        <v>0.174</v>
      </c>
      <c r="J11" s="15" t="n">
        <v>-0.08628</v>
      </c>
      <c r="K11" s="15" t="n">
        <v>-0.21388</v>
      </c>
      <c r="L11" s="19" t="n">
        <v>46</v>
      </c>
      <c r="M11" s="14" t="inlineStr">
        <is>
          <t>中位震荡</t>
        </is>
      </c>
      <c r="N11" s="20" t="n">
        <v>0.2</v>
      </c>
      <c r="O11" s="16" t="n">
        <v>953.1180893409994</v>
      </c>
      <c r="P11" s="14" t="inlineStr">
        <is>
          <t>无明确方向</t>
        </is>
      </c>
      <c r="Q11" s="21" t="n">
        <v>16.66</v>
      </c>
    </row>
    <row r="12">
      <c r="A12" s="13" t="inlineStr">
        <is>
          <t>002459.SZ</t>
        </is>
      </c>
      <c r="B12" s="14" t="inlineStr">
        <is>
          <t>晶澳科技</t>
        </is>
      </c>
      <c r="C12" s="13" t="n">
        <v>0</v>
      </c>
      <c r="D12" s="15" t="n">
        <v>0.04765590446704997</v>
      </c>
      <c r="E12" s="16" t="n">
        <v>4765.590446704997</v>
      </c>
      <c r="F12" s="13" t="n">
        <v>11.12</v>
      </c>
      <c r="G12" s="17" t="n">
        <v>37002592256</v>
      </c>
      <c r="H12" s="18" t="n"/>
      <c r="I12" s="15" t="n">
        <v>-0.136</v>
      </c>
      <c r="J12" s="15" t="n">
        <v>-0.08467</v>
      </c>
      <c r="K12" s="15" t="n">
        <v>-0.1697</v>
      </c>
      <c r="L12" s="19" t="n">
        <v>31.9</v>
      </c>
      <c r="M12" s="14" t="inlineStr">
        <is>
          <t>C-&gt;D (Spring 已确认)</t>
        </is>
      </c>
      <c r="N12" s="20" t="n">
        <v>0.7</v>
      </c>
      <c r="O12" s="16" t="n">
        <v>3335.913312693498</v>
      </c>
      <c r="P12" s="14" t="inlineStr">
        <is>
          <t>突破 11.45(+3%) 加仓</t>
        </is>
      </c>
      <c r="Q12" s="21" t="n">
        <v>11.3</v>
      </c>
    </row>
    <row r="14">
      <c r="A14" s="22" t="inlineStr">
        <is>
          <t>总计</t>
        </is>
      </c>
      <c r="B14" s="22" t="n"/>
      <c r="C14" s="22" t="n"/>
      <c r="D14" s="23">
        <f>SUM(D5:D12)</f>
        <v/>
      </c>
      <c r="E14" s="24">
        <f>SUM(E5:E12)</f>
        <v/>
      </c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4">
        <f>SUM(O5:O12)</f>
        <v/>
      </c>
      <c r="P14" s="22" t="n"/>
      <c r="Q14" s="22" t="n"/>
    </row>
  </sheetData>
  <mergeCells count="2">
    <mergeCell ref="A2:Q2"/>
    <mergeCell ref="A1:Q1"/>
  </mergeCells>
  <conditionalFormatting sqref="C5:C12">
    <cfRule type="colorScale" priority="1">
      <colorScale>
        <cfvo type="num" val="0"/>
        <cfvo type="num" val="40"/>
        <cfvo type="num" val="80"/>
        <color rgb="00F8696B"/>
        <color rgb="00FFEB84"/>
        <color rgb="0063BE7B"/>
      </colorScale>
    </cfRule>
  </conditionalFormatting>
  <conditionalFormatting sqref="D5:D12">
    <cfRule type="dataBar" priority="2">
      <dataBar>
        <cfvo type="min"/>
        <cfvo type="max"/>
        <color rgb="005B9BD5"/>
      </dataBar>
    </cfRule>
  </conditionalFormatting>
  <conditionalFormatting sqref="E5:E12">
    <cfRule type="dataBar" priority="3">
      <dataBar>
        <cfvo type="min"/>
        <cfvo type="max"/>
        <color rgb="0070AD47"/>
      </dataBar>
    </cfRule>
  </conditionalFormatting>
  <conditionalFormatting sqref="I5:I12">
    <cfRule type="colorScale" priority="4">
      <colorScale>
        <cfvo type="num" val="-0.3"/>
        <cfvo type="num" val="0"/>
        <cfvo type="num" val="0.5"/>
        <color rgb="00F8696B"/>
        <color rgb="00FFFFFF"/>
        <color rgb="0063BE7B"/>
      </colorScale>
    </cfRule>
  </conditionalFormatting>
  <conditionalFormatting sqref="J5:J12">
    <cfRule type="colorScale" priority="5">
      <colorScale>
        <cfvo type="num" val="-0.1"/>
        <cfvo type="num" val="0"/>
        <cfvo type="num" val="0.3"/>
        <color rgb="00F8696B"/>
        <color rgb="00FFFFFF"/>
        <color rgb="0063BE7B"/>
      </colorScale>
    </cfRule>
  </conditionalFormatting>
  <conditionalFormatting sqref="K5:K12">
    <cfRule type="colorScale" priority="6">
      <colorScale>
        <cfvo type="num" val="-0.1"/>
        <cfvo type="num" val="0"/>
        <cfvo type="num" val="0.3"/>
        <color rgb="00F8696B"/>
        <color rgb="00FFFFFF"/>
        <color rgb="0063BE7B"/>
      </colorScale>
    </cfRule>
  </conditionalFormatting>
  <conditionalFormatting sqref="L5:L12">
    <cfRule type="colorScale" priority="7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N5:N12">
    <cfRule type="dataBar" priority="8">
      <dataBar>
        <cfvo type="num" val="0"/>
        <cfvo type="num" val="1"/>
        <color rgb="0000B050"/>
      </dataBar>
    </cfRule>
  </conditionalFormatting>
  <conditionalFormatting sqref="O5:O12">
    <cfRule type="dataBar" priority="9">
      <dataBar>
        <cfvo type="min"/>
        <cfvo type="max"/>
        <color rgb="0000B050"/>
      </dataBar>
    </cfRule>
  </conditionalFormatting>
  <conditionalFormatting sqref="A5:Q12">
    <cfRule type="expression" priority="10" dxfId="0">
      <formula>ISNUMBER(SEARCH("Spring",$M5))</formula>
    </cfRule>
    <cfRule type="expression" priority="11" dxfId="1">
      <formula>ISNUMBER(SEARCH("SOS",$M5))</formula>
    </cfRule>
    <cfRule type="expression" priority="12" dxfId="1">
      <formula>ISNUMBER(SEARCH("E (",$M5))</formula>
    </cfRule>
    <cfRule type="expression" priority="13" dxfId="2">
      <formula>ISNUMBER(SEARCH("吸筹",$M5))</formula>
    </cfRule>
    <cfRule type="expression" priority="14" dxfId="3">
      <formula>OR(ISNUMBER(SEARCH("UTAD",$M5)),ISNUMBER(SEARCH("派发",$M5)),ISNUMBER(SEARCH("SOW",$M5)),ISNUMBER(SEARCH("顶部",$M5)))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6" customWidth="1" min="3" max="3"/>
    <col width="22" customWidth="1" min="4" max="4"/>
    <col width="13" customWidth="1" min="5" max="5"/>
    <col width="36" customWidth="1" min="6" max="6"/>
    <col width="11" customWidth="1" min="7" max="7"/>
    <col width="11" customWidth="1" min="8" max="8"/>
  </cols>
  <sheetData>
    <row r="1">
      <c r="A1" s="8" t="inlineStr">
        <is>
          <t>24 只股票操作信号(按首批仓位排序)</t>
        </is>
      </c>
    </row>
    <row r="3">
      <c r="A3" s="12" t="inlineStr">
        <is>
          <t>代码</t>
        </is>
      </c>
      <c r="B3" s="12" t="inlineStr">
        <is>
          <t>名称</t>
        </is>
      </c>
      <c r="C3" s="12" t="inlineStr">
        <is>
          <t>组合</t>
        </is>
      </c>
      <c r="D3" s="12" t="inlineStr">
        <is>
          <t>Wyckoff 阶段</t>
        </is>
      </c>
      <c r="E3" s="12" t="inlineStr">
        <is>
          <t>建议操作</t>
        </is>
      </c>
      <c r="F3" s="12" t="inlineStr">
        <is>
          <t>第二批触发条件</t>
        </is>
      </c>
      <c r="G3" s="12" t="inlineStr">
        <is>
          <t>止损价</t>
        </is>
      </c>
      <c r="H3" s="12" t="inlineStr">
        <is>
          <t>首批 %</t>
        </is>
      </c>
    </row>
    <row r="4">
      <c r="A4" s="13" t="inlineStr">
        <is>
          <t>002230.SZ</t>
        </is>
      </c>
      <c r="B4" s="14" t="inlineStr">
        <is>
          <t>科大讯飞</t>
        </is>
      </c>
      <c r="C4" s="13" t="inlineStr">
        <is>
          <t>A 股 AI</t>
        </is>
      </c>
      <c r="D4" s="14" t="inlineStr">
        <is>
          <t>C-&gt;D (Spring 已确认)</t>
        </is>
      </c>
      <c r="E4" s="14" t="inlineStr">
        <is>
          <t>✅ 趋势确认建仓</t>
        </is>
      </c>
      <c r="F4" s="14" t="inlineStr">
        <is>
          <t>突破 50.29(+3%) 加仓</t>
        </is>
      </c>
      <c r="G4" s="21" t="n">
        <v>49.17</v>
      </c>
      <c r="H4" s="20" t="n">
        <v>0.7</v>
      </c>
    </row>
    <row r="5">
      <c r="A5" s="13" t="inlineStr">
        <is>
          <t>300024.SZ</t>
        </is>
      </c>
      <c r="B5" s="14" t="inlineStr">
        <is>
          <t>机器人</t>
        </is>
      </c>
      <c r="C5" s="13" t="inlineStr">
        <is>
          <t>A 股 AI</t>
        </is>
      </c>
      <c r="D5" s="14" t="inlineStr">
        <is>
          <t>C-&gt;D (Spring 已确认)</t>
        </is>
      </c>
      <c r="E5" s="14" t="inlineStr">
        <is>
          <t>✅ 趋势确认建仓</t>
        </is>
      </c>
      <c r="F5" s="14" t="inlineStr">
        <is>
          <t>突破 15.81(+3%) 加仓</t>
        </is>
      </c>
      <c r="G5" s="21" t="n">
        <v>15.33</v>
      </c>
      <c r="H5" s="20" t="n">
        <v>0.7</v>
      </c>
    </row>
    <row r="6">
      <c r="A6" s="13" t="inlineStr">
        <is>
          <t>002459.SZ</t>
        </is>
      </c>
      <c r="B6" s="14" t="inlineStr">
        <is>
          <t>晶澳科技</t>
        </is>
      </c>
      <c r="C6" s="13" t="inlineStr">
        <is>
          <t>新能源</t>
        </is>
      </c>
      <c r="D6" s="14" t="inlineStr">
        <is>
          <t>C-&gt;D (Spring 已确认)</t>
        </is>
      </c>
      <c r="E6" s="14" t="inlineStr">
        <is>
          <t>✅ 趋势确认建仓</t>
        </is>
      </c>
      <c r="F6" s="14" t="inlineStr">
        <is>
          <t>突破 11.45(+3%) 加仓</t>
        </is>
      </c>
      <c r="G6" s="21" t="n">
        <v>11.3</v>
      </c>
      <c r="H6" s="20" t="n">
        <v>0.7</v>
      </c>
    </row>
    <row r="7">
      <c r="A7" s="13" t="inlineStr">
        <is>
          <t>000536.SZ</t>
        </is>
      </c>
      <c r="B7" s="14" t="inlineStr">
        <is>
          <t>华映科技</t>
        </is>
      </c>
      <c r="C7" s="13" t="inlineStr">
        <is>
          <t>A 股 AI</t>
        </is>
      </c>
      <c r="D7" s="14" t="inlineStr">
        <is>
          <t>C (Spring)</t>
        </is>
      </c>
      <c r="E7" s="14" t="inlineStr">
        <is>
          <t>✅ 强烈建仓</t>
        </is>
      </c>
      <c r="F7" s="14" t="inlineStr">
        <is>
          <t>突破 4.24(+5%) 加仓</t>
        </is>
      </c>
      <c r="G7" s="21" t="n">
        <v>4.04</v>
      </c>
      <c r="H7" s="20" t="n">
        <v>0.6</v>
      </c>
    </row>
    <row r="8">
      <c r="A8" s="13" t="inlineStr">
        <is>
          <t>1810.HK</t>
        </is>
      </c>
      <c r="B8" s="14" t="inlineStr">
        <is>
          <t>小米集团</t>
        </is>
      </c>
      <c r="C8" s="13" t="inlineStr">
        <is>
          <t>港股 AI</t>
        </is>
      </c>
      <c r="D8" s="14" t="inlineStr">
        <is>
          <t>C (Spring)</t>
        </is>
      </c>
      <c r="E8" s="14" t="inlineStr">
        <is>
          <t>✅ 强烈建仓</t>
        </is>
      </c>
      <c r="F8" s="14" t="inlineStr">
        <is>
          <t>突破 33.03(+5%) 加仓</t>
        </is>
      </c>
      <c r="G8" s="21" t="n">
        <v>29.93</v>
      </c>
      <c r="H8" s="20" t="n">
        <v>0.6</v>
      </c>
    </row>
    <row r="9">
      <c r="A9" s="13" t="inlineStr">
        <is>
          <t>000625.SZ</t>
        </is>
      </c>
      <c r="B9" s="14" t="inlineStr">
        <is>
          <t>长安汽车</t>
        </is>
      </c>
      <c r="C9" s="13" t="inlineStr">
        <is>
          <t>新能源</t>
        </is>
      </c>
      <c r="D9" s="14" t="inlineStr">
        <is>
          <t>C (Spring)</t>
        </is>
      </c>
      <c r="E9" s="14" t="inlineStr">
        <is>
          <t>✅ 强烈建仓</t>
        </is>
      </c>
      <c r="F9" s="14" t="inlineStr">
        <is>
          <t>突破 9.63(+5%) 加仓</t>
        </is>
      </c>
      <c r="G9" s="21" t="n">
        <v>9.6</v>
      </c>
      <c r="H9" s="20" t="n">
        <v>0.6</v>
      </c>
    </row>
    <row r="10">
      <c r="A10" s="13" t="inlineStr">
        <is>
          <t>603501.SS</t>
        </is>
      </c>
      <c r="B10" s="14" t="inlineStr">
        <is>
          <t>韦尔股份</t>
        </is>
      </c>
      <c r="C10" s="13" t="inlineStr">
        <is>
          <t>A 股 AI</t>
        </is>
      </c>
      <c r="D10" s="14" t="inlineStr">
        <is>
          <t>B (吸筹震荡)</t>
        </is>
      </c>
      <c r="E10" s="14" t="inlineStr">
        <is>
          <t>🟡 小仓位试探</t>
        </is>
      </c>
      <c r="F10" s="14" t="inlineStr">
        <is>
          <t>突破 109.09 加 / 回踩 91.62 不破再加</t>
        </is>
      </c>
      <c r="G10" s="21" t="n">
        <v>85.20999999999999</v>
      </c>
      <c r="H10" s="20" t="n">
        <v>0.3</v>
      </c>
    </row>
    <row r="11">
      <c r="A11" s="13" t="inlineStr">
        <is>
          <t>300229.SZ</t>
        </is>
      </c>
      <c r="B11" s="14" t="inlineStr">
        <is>
          <t>拓尔思</t>
        </is>
      </c>
      <c r="C11" s="13" t="inlineStr">
        <is>
          <t>A 股 AI</t>
        </is>
      </c>
      <c r="D11" s="14" t="inlineStr">
        <is>
          <t>B (吸筹震荡)</t>
        </is>
      </c>
      <c r="E11" s="14" t="inlineStr">
        <is>
          <t>🟡 小仓位试探</t>
        </is>
      </c>
      <c r="F11" s="14" t="inlineStr">
        <is>
          <t>突破 20.55 加 / 回踩 17.41 不破再加</t>
        </is>
      </c>
      <c r="G11" s="21" t="n">
        <v>16.19</v>
      </c>
      <c r="H11" s="20" t="n">
        <v>0.3</v>
      </c>
    </row>
    <row r="12">
      <c r="A12" s="13" t="inlineStr">
        <is>
          <t>300168.SZ</t>
        </is>
      </c>
      <c r="B12" s="14" t="inlineStr">
        <is>
          <t>万达信息</t>
        </is>
      </c>
      <c r="C12" s="13" t="inlineStr">
        <is>
          <t>A 股 AI</t>
        </is>
      </c>
      <c r="D12" s="14" t="inlineStr">
        <is>
          <t>B (吸筹震荡)</t>
        </is>
      </c>
      <c r="E12" s="14" t="inlineStr">
        <is>
          <t>🟡 小仓位试探</t>
        </is>
      </c>
      <c r="F12" s="14" t="inlineStr">
        <is>
          <t>突破 6.30 加 / 回踩 5.25 不破再加</t>
        </is>
      </c>
      <c r="G12" s="21" t="n">
        <v>4.88</v>
      </c>
      <c r="H12" s="20" t="n">
        <v>0.3</v>
      </c>
    </row>
    <row r="13">
      <c r="A13" s="13" t="inlineStr">
        <is>
          <t>300624.SZ</t>
        </is>
      </c>
      <c r="B13" s="14" t="inlineStr">
        <is>
          <t>万兴科技</t>
        </is>
      </c>
      <c r="C13" s="13" t="inlineStr">
        <is>
          <t>A 股 AI</t>
        </is>
      </c>
      <c r="D13" s="14" t="inlineStr">
        <is>
          <t>B (吸筹震荡)</t>
        </is>
      </c>
      <c r="E13" s="14" t="inlineStr">
        <is>
          <t>🟡 小仓位试探</t>
        </is>
      </c>
      <c r="F13" s="14" t="inlineStr">
        <is>
          <t>突破 75.28 加 / 回踩 63.53 不破再加</t>
        </is>
      </c>
      <c r="G13" s="21" t="n">
        <v>59.08</v>
      </c>
      <c r="H13" s="20" t="n">
        <v>0.3</v>
      </c>
    </row>
    <row r="14">
      <c r="A14" s="13" t="inlineStr">
        <is>
          <t>1024.HK</t>
        </is>
      </c>
      <c r="B14" s="14" t="inlineStr">
        <is>
          <t>快手</t>
        </is>
      </c>
      <c r="C14" s="13" t="inlineStr">
        <is>
          <t>港股 AI</t>
        </is>
      </c>
      <c r="D14" s="14" t="inlineStr">
        <is>
          <t>B (吸筹震荡)</t>
        </is>
      </c>
      <c r="E14" s="14" t="inlineStr">
        <is>
          <t>🟡 小仓位试探</t>
        </is>
      </c>
      <c r="F14" s="14" t="inlineStr">
        <is>
          <t>突破 58.55 加 / 回踩 41.92 不破再加</t>
        </is>
      </c>
      <c r="G14" s="21" t="n">
        <v>38.99</v>
      </c>
      <c r="H14" s="20" t="n">
        <v>0.3</v>
      </c>
    </row>
    <row r="15">
      <c r="A15" s="13" t="inlineStr">
        <is>
          <t>2382.HK</t>
        </is>
      </c>
      <c r="B15" s="14" t="inlineStr">
        <is>
          <t>舜宇光学</t>
        </is>
      </c>
      <c r="C15" s="13" t="inlineStr">
        <is>
          <t>港股 AI</t>
        </is>
      </c>
      <c r="D15" s="14" t="inlineStr">
        <is>
          <t>B (吸筹震荡)</t>
        </is>
      </c>
      <c r="E15" s="14" t="inlineStr">
        <is>
          <t>🟡 小仓位试探</t>
        </is>
      </c>
      <c r="F15" s="14" t="inlineStr">
        <is>
          <t>突破 69.26 加 / 回踩 61.55 不破再加</t>
        </is>
      </c>
      <c r="G15" s="21" t="n">
        <v>57.24</v>
      </c>
      <c r="H15" s="20" t="n">
        <v>0.3</v>
      </c>
    </row>
    <row r="16">
      <c r="A16" s="13" t="inlineStr">
        <is>
          <t>0285.HK</t>
        </is>
      </c>
      <c r="B16" s="14" t="inlineStr">
        <is>
          <t>比亚迪电子</t>
        </is>
      </c>
      <c r="C16" s="13" t="inlineStr">
        <is>
          <t>港股 AI</t>
        </is>
      </c>
      <c r="D16" s="14" t="inlineStr">
        <is>
          <t>B (吸筹震荡)</t>
        </is>
      </c>
      <c r="E16" s="14" t="inlineStr">
        <is>
          <t>🟡 小仓位试探</t>
        </is>
      </c>
      <c r="F16" s="14" t="inlineStr">
        <is>
          <t>突破 29.54 加 / 回踩 24.20 不破再加</t>
        </is>
      </c>
      <c r="G16" s="21" t="n">
        <v>22.51</v>
      </c>
      <c r="H16" s="20" t="n">
        <v>0.3</v>
      </c>
    </row>
    <row r="17">
      <c r="A17" s="13" t="inlineStr">
        <is>
          <t>2015.HK</t>
        </is>
      </c>
      <c r="B17" s="14" t="inlineStr">
        <is>
          <t>理想汽车</t>
        </is>
      </c>
      <c r="C17" s="13" t="inlineStr">
        <is>
          <t>港股 AI</t>
        </is>
      </c>
      <c r="D17" s="14" t="inlineStr">
        <is>
          <t>B (吸筹震荡)</t>
        </is>
      </c>
      <c r="E17" s="14" t="inlineStr">
        <is>
          <t>🟡 小仓位试探</t>
        </is>
      </c>
      <c r="F17" s="14" t="inlineStr">
        <is>
          <t>突破 76.65 加 / 回踩 66.60 不破再加</t>
        </is>
      </c>
      <c r="G17" s="21" t="n">
        <v>61.94</v>
      </c>
      <c r="H17" s="20" t="n">
        <v>0.3</v>
      </c>
    </row>
    <row r="18">
      <c r="A18" s="13" t="inlineStr">
        <is>
          <t>002594.SZ</t>
        </is>
      </c>
      <c r="B18" s="14" t="inlineStr">
        <is>
          <t>比亚迪</t>
        </is>
      </c>
      <c r="C18" s="13" t="inlineStr">
        <is>
          <t>新能源</t>
        </is>
      </c>
      <c r="D18" s="14" t="inlineStr">
        <is>
          <t>B (吸筹震荡)</t>
        </is>
      </c>
      <c r="E18" s="14" t="inlineStr">
        <is>
          <t>🟡 小仓位试探</t>
        </is>
      </c>
      <c r="F18" s="14" t="inlineStr">
        <is>
          <t>突破 108.09 加 / 回踩 98.70 不破再加</t>
        </is>
      </c>
      <c r="G18" s="21" t="n">
        <v>91.79000000000001</v>
      </c>
      <c r="H18" s="20" t="n">
        <v>0.3</v>
      </c>
    </row>
    <row r="19">
      <c r="A19" s="13" t="inlineStr">
        <is>
          <t>601012.SS</t>
        </is>
      </c>
      <c r="B19" s="14" t="inlineStr">
        <is>
          <t>隆基绿能</t>
        </is>
      </c>
      <c r="C19" s="13" t="inlineStr">
        <is>
          <t>新能源</t>
        </is>
      </c>
      <c r="D19" s="14" t="inlineStr">
        <is>
          <t>B (吸筹震荡)</t>
        </is>
      </c>
      <c r="E19" s="14" t="inlineStr">
        <is>
          <t>🟡 小仓位试探</t>
        </is>
      </c>
      <c r="F19" s="14" t="inlineStr">
        <is>
          <t>突破 18.38 加 / 回踩 15.82 不破再加</t>
        </is>
      </c>
      <c r="G19" s="21" t="n">
        <v>14.71</v>
      </c>
      <c r="H19" s="20" t="n">
        <v>0.3</v>
      </c>
    </row>
    <row r="20">
      <c r="A20" s="13" t="inlineStr">
        <is>
          <t>688599.SS</t>
        </is>
      </c>
      <c r="B20" s="14" t="inlineStr">
        <is>
          <t>天合光能</t>
        </is>
      </c>
      <c r="C20" s="13" t="inlineStr">
        <is>
          <t>新能源</t>
        </is>
      </c>
      <c r="D20" s="14" t="inlineStr">
        <is>
          <t>中位震荡</t>
        </is>
      </c>
      <c r="E20" s="14" t="inlineStr">
        <is>
          <t>⚪ 观望</t>
        </is>
      </c>
      <c r="F20" s="14" t="inlineStr">
        <is>
          <t>无明确方向</t>
        </is>
      </c>
      <c r="G20" s="21" t="n">
        <v>16.66</v>
      </c>
      <c r="H20" s="20" t="n">
        <v>0.2</v>
      </c>
    </row>
    <row r="21">
      <c r="A21" s="13" t="inlineStr">
        <is>
          <t>002362.SZ</t>
        </is>
      </c>
      <c r="B21" s="14" t="inlineStr">
        <is>
          <t>汉王科技</t>
        </is>
      </c>
      <c r="C21" s="13" t="inlineStr">
        <is>
          <t>A 股 AI</t>
        </is>
      </c>
      <c r="D21" s="14" t="inlineStr">
        <is>
          <t>A/B (筑底中)</t>
        </is>
      </c>
      <c r="E21" s="14" t="inlineStr">
        <is>
          <t>⚠️ 暂不建仓</t>
        </is>
      </c>
      <c r="F21" s="14" t="inlineStr">
        <is>
          <t>等待突破 20.06(确认 SOS)再建主仓</t>
        </is>
      </c>
      <c r="G21" s="21" t="n">
        <v>17.36</v>
      </c>
      <c r="H21" s="20" t="n">
        <v>0.15</v>
      </c>
    </row>
    <row r="22">
      <c r="A22" s="13" t="inlineStr">
        <is>
          <t>0700.HK</t>
        </is>
      </c>
      <c r="B22" s="14" t="inlineStr">
        <is>
          <t>腾讯控股</t>
        </is>
      </c>
      <c r="C22" s="13" t="inlineStr">
        <is>
          <t>港股 AI</t>
        </is>
      </c>
      <c r="D22" s="14" t="inlineStr">
        <is>
          <t>A/B (筑底中)</t>
        </is>
      </c>
      <c r="E22" s="14" t="inlineStr">
        <is>
          <t>⚠️ 暂不建仓</t>
        </is>
      </c>
      <c r="F22" s="14" t="inlineStr">
        <is>
          <t>等待突破 542.29(确认 SOS)再建主仓</t>
        </is>
      </c>
      <c r="G22" s="21" t="n">
        <v>420.62</v>
      </c>
      <c r="H22" s="20" t="n">
        <v>0.15</v>
      </c>
    </row>
    <row r="23">
      <c r="A23" s="13" t="inlineStr">
        <is>
          <t>9868.HK</t>
        </is>
      </c>
      <c r="B23" s="14" t="inlineStr">
        <is>
          <t>小鹏汽车</t>
        </is>
      </c>
      <c r="C23" s="13" t="inlineStr">
        <is>
          <t>港股 AI</t>
        </is>
      </c>
      <c r="D23" s="14" t="inlineStr">
        <is>
          <t>A/B (筑底中)</t>
        </is>
      </c>
      <c r="E23" s="14" t="inlineStr">
        <is>
          <t>⚠️ 暂不建仓</t>
        </is>
      </c>
      <c r="F23" s="14" t="inlineStr">
        <is>
          <t>等待突破 75.50(确认 SOS)再建主仓</t>
        </is>
      </c>
      <c r="G23" s="21" t="n">
        <v>57.59</v>
      </c>
      <c r="H23" s="20" t="n">
        <v>0.15</v>
      </c>
    </row>
    <row r="24">
      <c r="A24" s="13" t="inlineStr">
        <is>
          <t>3690.HK</t>
        </is>
      </c>
      <c r="B24" s="14" t="inlineStr">
        <is>
          <t>美团</t>
        </is>
      </c>
      <c r="C24" s="13" t="inlineStr">
        <is>
          <t>港股 AI</t>
        </is>
      </c>
      <c r="D24" s="14" t="inlineStr">
        <is>
          <t>A (止跌)</t>
        </is>
      </c>
      <c r="E24" s="14" t="inlineStr">
        <is>
          <t>⚠️ 暂不建仓</t>
        </is>
      </c>
      <c r="F24" s="14" t="inlineStr">
        <is>
          <t>等待突破 93.58(确认 SOS)再建主仓</t>
        </is>
      </c>
      <c r="G24" s="21" t="n">
        <v>77.42</v>
      </c>
      <c r="H24" s="20" t="n">
        <v>0.15</v>
      </c>
    </row>
    <row r="25">
      <c r="A25" s="13" t="inlineStr">
        <is>
          <t>601633.SS</t>
        </is>
      </c>
      <c r="B25" s="14" t="inlineStr">
        <is>
          <t>长城汽车</t>
        </is>
      </c>
      <c r="C25" s="13" t="inlineStr">
        <is>
          <t>新能源</t>
        </is>
      </c>
      <c r="D25" s="14" t="inlineStr">
        <is>
          <t>A/B (筑底中)</t>
        </is>
      </c>
      <c r="E25" s="14" t="inlineStr">
        <is>
          <t>⚠️ 暂不建仓</t>
        </is>
      </c>
      <c r="F25" s="14" t="inlineStr">
        <is>
          <t>等待突破 22.20(确认 SOS)再建主仓</t>
        </is>
      </c>
      <c r="G25" s="21" t="n">
        <v>18.13</v>
      </c>
      <c r="H25" s="20" t="n">
        <v>0.15</v>
      </c>
    </row>
    <row r="26">
      <c r="A26" s="13" t="inlineStr">
        <is>
          <t>600104.SS</t>
        </is>
      </c>
      <c r="B26" s="14" t="inlineStr">
        <is>
          <t>上汽集团</t>
        </is>
      </c>
      <c r="C26" s="13" t="inlineStr">
        <is>
          <t>新能源</t>
        </is>
      </c>
      <c r="D26" s="14" t="inlineStr">
        <is>
          <t>A/B (筑底中)</t>
        </is>
      </c>
      <c r="E26" s="14" t="inlineStr">
        <is>
          <t>⚠️ 暂不建仓</t>
        </is>
      </c>
      <c r="F26" s="14" t="inlineStr">
        <is>
          <t>等待突破 15.29(确认 SOS)再建主仓</t>
        </is>
      </c>
      <c r="G26" s="21" t="n">
        <v>12.33</v>
      </c>
      <c r="H26" s="20" t="n">
        <v>0.15</v>
      </c>
    </row>
    <row r="27">
      <c r="A27" s="13" t="inlineStr">
        <is>
          <t>601615.SS</t>
        </is>
      </c>
      <c r="B27" s="14" t="inlineStr">
        <is>
          <t>明阳智能</t>
        </is>
      </c>
      <c r="C27" s="13" t="inlineStr">
        <is>
          <t>新能源</t>
        </is>
      </c>
      <c r="D27" s="14" t="inlineStr">
        <is>
          <t>D (SOW 下跌)</t>
        </is>
      </c>
      <c r="E27" s="14" t="inlineStr">
        <is>
          <t>🚫 不建仓 (派发下跌中)</t>
        </is>
      </c>
      <c r="F27" s="14" t="inlineStr">
        <is>
          <t>等待跌至 MA200 15.94 附近企稳</t>
        </is>
      </c>
      <c r="G27" s="21" t="n"/>
      <c r="H27" s="20" t="n">
        <v>0</v>
      </c>
    </row>
  </sheetData>
  <mergeCells count="1">
    <mergeCell ref="A1:H1"/>
  </mergeCells>
  <conditionalFormatting sqref="A4:H27">
    <cfRule type="expression" priority="1" dxfId="0">
      <formula>ISNUMBER(SEARCH("强烈建仓",$E4))</formula>
    </cfRule>
    <cfRule type="expression" priority="2" dxfId="1">
      <formula>OR(ISNUMBER(SEARCH("趋势确认",$E4)),ISNUMBER(SEARCH("趋势中",$E4)))</formula>
    </cfRule>
    <cfRule type="expression" priority="3" dxfId="2">
      <formula>ISNUMBER(SEARCH("试探",$E4))</formula>
    </cfRule>
    <cfRule type="expression" priority="4" dxfId="3">
      <formula>ISNUMBER(SEARCH("不建仓",$E4))</formula>
    </cfRule>
  </conditionalFormatting>
  <conditionalFormatting sqref="H4:H27">
    <cfRule type="dataBar" priority="5">
      <dataBar>
        <cfvo type="num" val="0"/>
        <cfvo type="num" val="1"/>
        <color rgb="0000B050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2026-05-13T17:24:58Z</dcterms:created>
  <dcterms:modified xsi:type="dcterms:W3CDTF">2026-05-13T17:24:58Z</dcterms:modified>
</cp:coreProperties>
</file>