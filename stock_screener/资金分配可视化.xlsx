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总览" sheetId="1" state="visible" r:id="rId1"/>
    <sheet name="🇺🇸 美股 AI 能源" sheetId="2" state="visible" r:id="rId2"/>
    <sheet name="🇨🇳 A股 存储与AI" sheetId="3" state="visible" r:id="rId3"/>
    <sheet name="⚡ 信号汇总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"/>
    <numFmt numFmtId="167" formatCode="0.0&quot;%&quot;"/>
    <numFmt numFmtId="168" formatCode="+0.0%;-0.0%"/>
    <numFmt numFmtId="169" formatCode="&quot;¥&quot;#,##0"/>
  </numFmts>
  <fonts count="10">
    <font>
      <name val="Calibri"/>
      <family val="2"/>
      <color theme="1"/>
      <sz val="11"/>
      <scheme val="minor"/>
    </font>
    <font>
      <name val="微软雅黑"/>
      <b val="1"/>
      <color rgb="001F4E78"/>
      <sz val="18"/>
    </font>
    <font>
      <name val="微软雅黑"/>
      <i val="1"/>
      <color rgb="00808080"/>
      <sz val="10"/>
    </font>
    <font>
      <name val="微软雅黑"/>
      <b val="1"/>
      <color rgb="00FFFFFF"/>
      <sz val="11"/>
    </font>
    <font>
      <name val="微软雅黑"/>
      <sz val="11"/>
    </font>
    <font>
      <name val="微软雅黑"/>
      <b val="1"/>
      <color rgb="001F4E78"/>
      <sz val="14"/>
    </font>
    <font>
      <name val="微软雅黑"/>
      <b val="1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169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E6E6"/>
          <bgColor rgb="00FFE6E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E2EFDA"/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美股 AI 能源 (8 只) - 资金分配比例</a:t>
            </a:r>
          </a:p>
        </rich>
      </tx>
    </title>
    <plotArea>
      <pieChart>
        <varyColors val="1"/>
        <ser>
          <idx val="0"/>
          <order val="0"/>
          <tx>
            <strRef>
              <f>'🇺🇸 美股 AI 能源'!D4</f>
            </strRef>
          </tx>
          <spPr>
            <a:ln>
              <a:prstDash val="solid"/>
            </a:ln>
          </spPr>
          <cat>
            <numRef>
              <f>'🇺🇸 美股 AI 能源'!$A$5:$A$12</f>
            </numRef>
          </cat>
          <val>
            <numRef>
              <f>'🇺🇸 美股 AI 能源'!$D$5:$D$12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综合评分排序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'🇺🇸 美股 AI 能源'!C4</f>
            </strRef>
          </tx>
          <spPr>
            <a:ln>
              <a:prstDash val="solid"/>
            </a:ln>
          </spPr>
          <cat>
            <numRef>
              <f>'🇺🇸 美股 AI 能源'!$A$5:$A$12</f>
            </numRef>
          </cat>
          <val>
            <numRef>
              <f>'🇺🇸 美股 AI 能源'!$C$5:$C$12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综合分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股票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股 存储/AI (4 只) - 资金分配比例</a:t>
            </a:r>
          </a:p>
        </rich>
      </tx>
    </title>
    <plotArea>
      <pieChart>
        <varyColors val="1"/>
        <ser>
          <idx val="0"/>
          <order val="0"/>
          <tx>
            <strRef>
              <f>'🇨🇳 A股 存储与AI'!D4</f>
            </strRef>
          </tx>
          <spPr>
            <a:ln>
              <a:prstDash val="solid"/>
            </a:ln>
          </spPr>
          <cat>
            <numRef>
              <f>'🇨🇳 A股 存储与AI'!$A$5:$A$8</f>
            </numRef>
          </cat>
          <val>
            <numRef>
              <f>'🇨🇳 A股 存储与AI'!$D$5:$D$8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综合评分排序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'🇨🇳 A股 存储与AI'!C4</f>
            </strRef>
          </tx>
          <spPr>
            <a:ln>
              <a:prstDash val="solid"/>
            </a:ln>
          </spPr>
          <cat>
            <numRef>
              <f>'🇨🇳 A股 存储与AI'!$A$5:$A$8</f>
            </numRef>
          </cat>
          <val>
            <numRef>
              <f>'🇨🇳 A股 存储与AI'!$C$5:$C$8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综合分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股票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25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3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25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</cols>
  <sheetData>
    <row r="1">
      <c r="A1" s="1" t="inlineStr">
        <is>
          <t>📊 资金分配 - 总览</t>
        </is>
      </c>
    </row>
    <row r="2">
      <c r="A2" s="2" t="inlineStr">
        <is>
          <t>数据来源: yfinance | 平均筹码代理: 60d VWAP | 主力推断: OBV+CMF+涨跌量比</t>
        </is>
      </c>
    </row>
    <row r="4">
      <c r="A4" s="3" t="inlineStr">
        <is>
          <t>组合</t>
        </is>
      </c>
      <c r="B4" s="3" t="inlineStr">
        <is>
          <t>股票数</t>
        </is>
      </c>
      <c r="C4" s="3" t="inlineStr">
        <is>
          <t>总分</t>
        </is>
      </c>
      <c r="D4" s="3" t="inlineStr">
        <is>
          <t>首选(评分最高)</t>
        </is>
      </c>
      <c r="E4" s="3" t="inlineStr">
        <is>
          <t>投机仓(评分最低)</t>
        </is>
      </c>
    </row>
    <row r="5">
      <c r="A5" s="4" t="inlineStr">
        <is>
          <t>🇺🇸 美股 AI 能源</t>
        </is>
      </c>
      <c r="B5" s="5" t="n">
        <v>8</v>
      </c>
      <c r="C5" s="5" t="n">
        <v>334</v>
      </c>
      <c r="D5" s="5" t="inlineStr">
        <is>
          <t>EXE (80分)</t>
        </is>
      </c>
      <c r="E5" s="5" t="inlineStr">
        <is>
          <t>OKLO (18分)</t>
        </is>
      </c>
    </row>
    <row r="6">
      <c r="A6" s="6" t="inlineStr">
        <is>
          <t>🇨🇳 A 股 存储/AI</t>
        </is>
      </c>
      <c r="B6" s="5" t="n">
        <v>4</v>
      </c>
      <c r="C6" s="5" t="n">
        <v>111</v>
      </c>
      <c r="D6" s="5" t="inlineStr">
        <is>
          <t>603893.SS (48分)</t>
        </is>
      </c>
      <c r="E6" s="5" t="inlineStr">
        <is>
          <t>603690.SS (8分)</t>
        </is>
      </c>
    </row>
    <row r="8">
      <c r="A8" s="7" t="inlineStr">
        <is>
          <t>📋 评分维度说明</t>
        </is>
      </c>
    </row>
    <row r="9">
      <c r="A9" s="8" t="inlineStr">
        <is>
          <t>位置 % (52周区间)</t>
        </is>
      </c>
      <c r="B9" s="9" t="inlineStr">
        <is>
          <t>&lt;10% +30 分,&lt;20% +25 分,&lt;30% +18 分,&gt;80% 0 分</t>
        </is>
      </c>
    </row>
    <row r="10">
      <c r="A10" s="8" t="inlineStr">
        <is>
          <t>RSI 摆动</t>
        </is>
      </c>
      <c r="B10" s="9" t="inlineStr">
        <is>
          <t>&lt;25 +15 分,&lt;35 +10 分,&gt;70 -10 分</t>
        </is>
      </c>
    </row>
    <row r="11">
      <c r="A11" s="8" t="inlineStr">
        <is>
          <t>PE (TTM)</t>
        </is>
      </c>
      <c r="B11" s="9" t="inlineStr">
        <is>
          <t>&lt;15 +15 分,&lt;25 +10 分,&gt;50 -5 分,&gt;80 -10 分</t>
        </is>
      </c>
    </row>
    <row r="12">
      <c r="A12" s="8" t="inlineStr">
        <is>
          <t>营收增长 YoY</t>
        </is>
      </c>
      <c r="B12" s="9" t="inlineStr">
        <is>
          <t>&gt;30% +15 分,&gt;15% +10 分,&lt;-10% -10 分</t>
        </is>
      </c>
    </row>
    <row r="13">
      <c r="A13" s="8" t="inlineStr">
        <is>
          <t>利润率</t>
        </is>
      </c>
      <c r="B13" s="9" t="inlineStr">
        <is>
          <t>&gt;20% +10 分,&lt;-5% -10 分</t>
        </is>
      </c>
    </row>
    <row r="14">
      <c r="A14" s="8" t="inlineStr">
        <is>
          <t>ROE</t>
        </is>
      </c>
      <c r="B14" s="9" t="inlineStr">
        <is>
          <t>&gt;20% +10 分,&gt;10% +5 分,&lt;0 -5 分</t>
        </is>
      </c>
    </row>
    <row r="15">
      <c r="A15" s="8" t="inlineStr">
        <is>
          <t>主力资金信号</t>
        </is>
      </c>
      <c r="B15" s="9" t="inlineStr">
        <is>
          <t>建仓 +10 分,净流入 +5 分,派发 -10 分</t>
        </is>
      </c>
    </row>
    <row r="16">
      <c r="A16" s="8" t="inlineStr">
        <is>
          <t>市值规避微盘</t>
        </is>
      </c>
      <c r="B16" s="9" t="inlineStr">
        <is>
          <t>&lt;10亿 -5 分,&gt;500亿 +3 分</t>
        </is>
      </c>
    </row>
    <row r="18">
      <c r="A18" s="7" t="inlineStr">
        <is>
          <t>⚠️ 重要说明</t>
        </is>
      </c>
    </row>
    <row r="19">
      <c r="A19" s="10" t="inlineStr">
        <is>
          <t>1. 平均筹码价格 用 60 日 VWAP(成交量加权均价)代理 — 严格的'持仓成本'需要 Tick 数据,本表近似</t>
        </is>
      </c>
    </row>
    <row r="20">
      <c r="A20" s="10" t="inlineStr">
        <is>
          <t>2. 主力资金/庄家建仓 用 OBV+CMF+涨跌量比 推断 — 准确判断需要 L2 主力净流入数据</t>
        </is>
      </c>
    </row>
    <row r="21">
      <c r="A21" s="10" t="inlineStr">
        <is>
          <t>3. 本报告为按规则的资金分配,不构成任何投资建议。投资决策请结合基本面、行业景气度自行判断</t>
        </is>
      </c>
    </row>
    <row r="22">
      <c r="A22" s="10" t="inlineStr">
        <is>
          <t>4. 风险提示: 单笔仓位 ≥ 5%, ≤ 25%(4只组合 ≤ 40%);跌破 52W 低 5% 强制止损</t>
        </is>
      </c>
    </row>
  </sheetData>
  <mergeCells count="16">
    <mergeCell ref="A21:E21"/>
    <mergeCell ref="B9:E9"/>
    <mergeCell ref="A20:E20"/>
    <mergeCell ref="A2:E2"/>
    <mergeCell ref="B12:E12"/>
    <mergeCell ref="B13:E13"/>
    <mergeCell ref="B16:E16"/>
    <mergeCell ref="A19:E19"/>
    <mergeCell ref="B15:E15"/>
    <mergeCell ref="A1:E1"/>
    <mergeCell ref="B11:E11"/>
    <mergeCell ref="A8:E8"/>
    <mergeCell ref="B10:E10"/>
    <mergeCell ref="A22:E22"/>
    <mergeCell ref="A18:E18"/>
    <mergeCell ref="B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1" customWidth="1" min="3" max="3"/>
    <col width="11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11" customWidth="1" min="11" max="11"/>
    <col width="9" customWidth="1" min="12" max="12"/>
    <col width="9" customWidth="1" min="13" max="13"/>
    <col width="12" customWidth="1" min="14" max="14"/>
    <col width="13" customWidth="1" min="15" max="15"/>
    <col width="24" customWidth="1" min="16" max="16"/>
  </cols>
  <sheetData>
    <row r="1">
      <c r="A1" s="7" t="inlineStr">
        <is>
          <t>💰 美股 AI 能源 (8 只) 资金分配方案</t>
        </is>
      </c>
    </row>
    <row r="2">
      <c r="A2" s="2" t="inlineStr">
        <is>
          <t>总资金 $100,000 | 数据时间: 实时(yfinance)</t>
        </is>
      </c>
    </row>
    <row r="4">
      <c r="A4" s="11" t="inlineStr">
        <is>
          <t>代码</t>
        </is>
      </c>
      <c r="B4" s="11" t="inlineStr">
        <is>
          <t>名称</t>
        </is>
      </c>
      <c r="C4" s="11" t="inlineStr">
        <is>
          <t>综合分</t>
        </is>
      </c>
      <c r="D4" s="11" t="inlineStr">
        <is>
          <t>分配 %</t>
        </is>
      </c>
      <c r="E4" s="11" t="inlineStr">
        <is>
          <t>分配金额</t>
        </is>
      </c>
      <c r="F4" s="11" t="inlineStr">
        <is>
          <t>估算手数</t>
        </is>
      </c>
      <c r="G4" s="11" t="inlineStr">
        <is>
          <t>市值</t>
        </is>
      </c>
      <c r="H4" s="11" t="inlineStr">
        <is>
          <t>PE</t>
        </is>
      </c>
      <c r="I4" s="11" t="inlineStr">
        <is>
          <t>营收增长</t>
        </is>
      </c>
      <c r="J4" s="11" t="inlineStr">
        <is>
          <t>利润率</t>
        </is>
      </c>
      <c r="K4" s="11" t="inlineStr">
        <is>
          <t>ROE</t>
        </is>
      </c>
      <c r="L4" s="11" t="inlineStr">
        <is>
          <t>位置 %</t>
        </is>
      </c>
      <c r="M4" s="11" t="inlineStr">
        <is>
          <t>RSI</t>
        </is>
      </c>
      <c r="N4" s="11" t="inlineStr">
        <is>
          <t>60d VWAP</t>
        </is>
      </c>
      <c r="O4" s="11" t="inlineStr">
        <is>
          <t>当前/VWAP</t>
        </is>
      </c>
      <c r="P4" s="11" t="inlineStr">
        <is>
          <t>主力推断</t>
        </is>
      </c>
    </row>
    <row r="5">
      <c r="A5" s="12" t="inlineStr">
        <is>
          <t>EXE</t>
        </is>
      </c>
      <c r="B5" s="12" t="inlineStr">
        <is>
          <t>Expand Energy Corporation</t>
        </is>
      </c>
      <c r="C5" s="12" t="n">
        <v>80</v>
      </c>
      <c r="D5" s="13" t="n">
        <v>0.2395209580838323</v>
      </c>
      <c r="E5" s="14" t="n">
        <v>23952.09580838323</v>
      </c>
      <c r="F5" s="12" t="n">
        <v>251</v>
      </c>
      <c r="G5" s="15" t="n">
        <v>22788939776</v>
      </c>
      <c r="H5" s="16" t="n">
        <v>7.087798</v>
      </c>
      <c r="I5" s="13" t="n">
        <v>0.41</v>
      </c>
      <c r="J5" s="13" t="n">
        <v>0.24906999</v>
      </c>
      <c r="K5" s="13" t="n">
        <v>0.17568001</v>
      </c>
      <c r="L5" s="17" t="n">
        <v>14.4</v>
      </c>
      <c r="M5" s="16" t="n">
        <v>38.9</v>
      </c>
      <c r="N5" s="18" t="n">
        <v>103.57</v>
      </c>
      <c r="O5" s="19" t="n">
        <v>-0.08019999999999999</v>
      </c>
      <c r="P5" s="20" t="inlineStr">
        <is>
          <t>➖ 量价中性</t>
        </is>
      </c>
    </row>
    <row r="6">
      <c r="A6" s="12" t="inlineStr">
        <is>
          <t>VST</t>
        </is>
      </c>
      <c r="B6" s="12" t="inlineStr">
        <is>
          <t>Vistra Corp.</t>
        </is>
      </c>
      <c r="C6" s="12" t="n">
        <v>60</v>
      </c>
      <c r="D6" s="13" t="n">
        <v>0.1796407185628743</v>
      </c>
      <c r="E6" s="14" t="n">
        <v>17964.07185628742</v>
      </c>
      <c r="F6" s="12" t="n">
        <v>126</v>
      </c>
      <c r="G6" s="15" t="n">
        <v>47987810304</v>
      </c>
      <c r="H6" s="16" t="n">
        <v>23.799332</v>
      </c>
      <c r="I6" s="13" t="n">
        <v>0.434</v>
      </c>
      <c r="J6" s="13" t="n">
        <v>0.11525</v>
      </c>
      <c r="K6" s="13" t="n">
        <v>0.42898</v>
      </c>
      <c r="L6" s="17" t="n">
        <v>4.9</v>
      </c>
      <c r="M6" s="16" t="n">
        <v>37.1</v>
      </c>
      <c r="N6" s="18" t="n">
        <v>159.54</v>
      </c>
      <c r="O6" s="19" t="n">
        <v>-0.1079</v>
      </c>
      <c r="P6" s="20" t="inlineStr">
        <is>
          <t>🔻 放量下跌 → 主力疑似派发</t>
        </is>
      </c>
    </row>
    <row r="7">
      <c r="A7" s="12" t="inlineStr">
        <is>
          <t>PEG</t>
        </is>
      </c>
      <c r="B7" s="12" t="inlineStr">
        <is>
          <t>Public Service Enterprise</t>
        </is>
      </c>
      <c r="C7" s="12" t="n">
        <v>53</v>
      </c>
      <c r="D7" s="13" t="n">
        <v>0.1586826347305389</v>
      </c>
      <c r="E7" s="14" t="n">
        <v>15868.26347305389</v>
      </c>
      <c r="F7" s="12" t="n">
        <v>206</v>
      </c>
      <c r="G7" s="15" t="n">
        <v>38241185792</v>
      </c>
      <c r="H7" s="16" t="n">
        <v>16.977875</v>
      </c>
      <c r="I7" s="13" t="n">
        <v>0.194</v>
      </c>
      <c r="J7" s="13" t="n">
        <v>0.17688</v>
      </c>
      <c r="K7" s="13" t="n">
        <v>0.13441</v>
      </c>
      <c r="L7" s="17" t="n">
        <v>20.1</v>
      </c>
      <c r="M7" s="16" t="n">
        <v>37.7</v>
      </c>
      <c r="N7" s="18" t="n">
        <v>81.65000000000001</v>
      </c>
      <c r="O7" s="19" t="n">
        <v>-0.0602</v>
      </c>
      <c r="P7" s="20" t="inlineStr">
        <is>
          <t>➖ 量价中性</t>
        </is>
      </c>
    </row>
    <row r="8">
      <c r="A8" s="12" t="inlineStr">
        <is>
          <t>CEG</t>
        </is>
      </c>
      <c r="B8" s="12" t="inlineStr">
        <is>
          <t>Constellation Energy Corp</t>
        </is>
      </c>
      <c r="C8" s="12" t="n">
        <v>51</v>
      </c>
      <c r="D8" s="13" t="n">
        <v>0.1526946107784431</v>
      </c>
      <c r="E8" s="14" t="n">
        <v>15269.46107784431</v>
      </c>
      <c r="F8" s="12" t="n">
        <v>55</v>
      </c>
      <c r="G8" s="15" t="n">
        <v>99971989504</v>
      </c>
      <c r="H8" s="16" t="n">
        <v>24.04735</v>
      </c>
      <c r="I8" s="13" t="n">
        <v>0.638</v>
      </c>
      <c r="J8" s="13" t="n">
        <v>0.12693</v>
      </c>
      <c r="K8" s="13" t="n">
        <v>0.16104999</v>
      </c>
      <c r="L8" s="17" t="n">
        <v>20</v>
      </c>
      <c r="M8" s="16" t="n">
        <v>38.5</v>
      </c>
      <c r="N8" s="18" t="n">
        <v>301.37</v>
      </c>
      <c r="O8" s="19" t="n">
        <v>-0.08160000000000001</v>
      </c>
      <c r="P8" s="20" t="inlineStr">
        <is>
          <t>🔻 放量下跌 → 主力疑似派发</t>
        </is>
      </c>
    </row>
    <row r="9">
      <c r="A9" s="12" t="inlineStr">
        <is>
          <t>NRG</t>
        </is>
      </c>
      <c r="B9" s="12" t="inlineStr">
        <is>
          <t>NRG Energy, Inc.</t>
        </is>
      </c>
      <c r="C9" s="12" t="n">
        <v>27</v>
      </c>
      <c r="D9" s="13" t="n">
        <v>0.08083832335329341</v>
      </c>
      <c r="E9" s="14" t="n">
        <v>8083.832335329341</v>
      </c>
      <c r="F9" s="12" t="n">
        <v>61</v>
      </c>
      <c r="G9" s="15" t="n">
        <v>27747885056</v>
      </c>
      <c r="H9" s="16" t="n">
        <v>144.52197</v>
      </c>
      <c r="I9" s="13" t="n">
        <v>0.195</v>
      </c>
      <c r="J9" s="13" t="n">
        <v>0.00738</v>
      </c>
      <c r="K9" s="13" t="n">
        <v>0.062480003</v>
      </c>
      <c r="L9" s="17" t="n">
        <v>3.8</v>
      </c>
      <c r="M9" s="16" t="n">
        <v>31.3</v>
      </c>
      <c r="N9" s="18" t="n">
        <v>157.33</v>
      </c>
      <c r="O9" s="19" t="n">
        <v>-0.1641</v>
      </c>
      <c r="P9" s="20" t="inlineStr">
        <is>
          <t>🔻 放量下跌 → 主力疑似派发</t>
        </is>
      </c>
    </row>
    <row r="10">
      <c r="A10" s="12" t="inlineStr">
        <is>
          <t>STEM</t>
        </is>
      </c>
      <c r="B10" s="12" t="inlineStr">
        <is>
          <t>Stem, Inc.</t>
        </is>
      </c>
      <c r="C10" s="12" t="n">
        <v>25</v>
      </c>
      <c r="D10" s="13" t="n">
        <v>0.0748502994011976</v>
      </c>
      <c r="E10" s="14" t="n">
        <v>7485.02994011976</v>
      </c>
      <c r="F10" s="12" t="n">
        <v>836</v>
      </c>
      <c r="G10" s="15" t="n">
        <v>80164728</v>
      </c>
      <c r="H10" s="16" t="n"/>
      <c r="I10" s="13" t="n">
        <v>-0.108</v>
      </c>
      <c r="J10" s="13" t="n">
        <v>0.94162005</v>
      </c>
      <c r="K10" s="13" t="n"/>
      <c r="L10" s="17" t="n">
        <v>11.5</v>
      </c>
      <c r="M10" s="16" t="n">
        <v>39.9</v>
      </c>
      <c r="N10" s="18" t="n">
        <v>10.52</v>
      </c>
      <c r="O10" s="19" t="n">
        <v>-0.1492</v>
      </c>
      <c r="P10" s="20" t="inlineStr">
        <is>
          <t>➖ 量价中性</t>
        </is>
      </c>
    </row>
    <row r="11">
      <c r="A11" s="12" t="inlineStr">
        <is>
          <t>SMR</t>
        </is>
      </c>
      <c r="B11" s="12" t="inlineStr">
        <is>
          <t>NuScale Power Corporation</t>
        </is>
      </c>
      <c r="C11" s="12" t="n">
        <v>20</v>
      </c>
      <c r="D11" s="13" t="n">
        <v>0.05988023952095808</v>
      </c>
      <c r="E11" s="14" t="n">
        <v>5988.023952095808</v>
      </c>
      <c r="F11" s="12" t="n">
        <v>482</v>
      </c>
      <c r="G11" s="15" t="n">
        <v>4292784640</v>
      </c>
      <c r="H11" s="16" t="n"/>
      <c r="I11" s="13" t="n">
        <v>-0.958</v>
      </c>
      <c r="J11" s="13" t="n">
        <v>0</v>
      </c>
      <c r="K11" s="13" t="n">
        <v>-0.8305</v>
      </c>
      <c r="L11" s="17" t="n">
        <v>7.3</v>
      </c>
      <c r="M11" s="16" t="n">
        <v>51.6</v>
      </c>
      <c r="N11" s="18" t="n">
        <v>11.98</v>
      </c>
      <c r="O11" s="19" t="n">
        <v>0.0354</v>
      </c>
      <c r="P11" s="20" t="inlineStr">
        <is>
          <t>➖ 量价中性</t>
        </is>
      </c>
    </row>
    <row r="12">
      <c r="A12" s="12" t="inlineStr">
        <is>
          <t>OKLO</t>
        </is>
      </c>
      <c r="B12" s="12" t="inlineStr">
        <is>
          <t>Oklo Inc.</t>
        </is>
      </c>
      <c r="C12" s="12" t="n">
        <v>18</v>
      </c>
      <c r="D12" s="13" t="n">
        <v>0.05389221556886228</v>
      </c>
      <c r="E12" s="14" t="n">
        <v>5389.221556886228</v>
      </c>
      <c r="F12" s="12" t="n">
        <v>75</v>
      </c>
      <c r="G12" s="15" t="n">
        <v>12417876992</v>
      </c>
      <c r="H12" s="16" t="n"/>
      <c r="I12" s="13" t="n"/>
      <c r="J12" s="13" t="n">
        <v>0</v>
      </c>
      <c r="K12" s="13" t="n">
        <v>-0.12236</v>
      </c>
      <c r="L12" s="17" t="n">
        <v>25.6</v>
      </c>
      <c r="M12" s="16" t="n">
        <v>53.1</v>
      </c>
      <c r="N12" s="18" t="n">
        <v>64.56</v>
      </c>
      <c r="O12" s="19" t="n">
        <v>0.1059</v>
      </c>
      <c r="P12" s="20" t="inlineStr">
        <is>
          <t>➖ 量价中性</t>
        </is>
      </c>
    </row>
    <row r="14">
      <c r="A14" s="21" t="inlineStr">
        <is>
          <t>💰 总计</t>
        </is>
      </c>
      <c r="B14" s="21" t="n"/>
      <c r="C14" s="21" t="n"/>
      <c r="D14" s="22">
        <f>SUM(D5:D12)</f>
        <v/>
      </c>
      <c r="E14" s="23">
        <f>SUM(E5:E12)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</row>
  </sheetData>
  <mergeCells count="2">
    <mergeCell ref="A1:P1"/>
    <mergeCell ref="A2:P2"/>
  </mergeCells>
  <conditionalFormatting sqref="C5:C12">
    <cfRule type="colorScale" priority="1">
      <colorScale>
        <cfvo type="num" val="0"/>
        <cfvo type="num" val="40"/>
        <cfvo type="num" val="80"/>
        <color rgb="00F8696B"/>
        <color rgb="00FFEB84"/>
        <color rgb="0063BE7B"/>
      </colorScale>
    </cfRule>
  </conditionalFormatting>
  <conditionalFormatting sqref="D5:D12">
    <cfRule type="dataBar" priority="2">
      <dataBar>
        <cfvo type="min"/>
        <cfvo type="max"/>
        <color rgb="005B9BD5"/>
      </dataBar>
    </cfRule>
  </conditionalFormatting>
  <conditionalFormatting sqref="E5:E12">
    <cfRule type="dataBar" priority="3">
      <dataBar>
        <cfvo type="min"/>
        <cfvo type="max"/>
        <color rgb="0070AD47"/>
      </dataBar>
    </cfRule>
  </conditionalFormatting>
  <conditionalFormatting sqref="I5:I12">
    <cfRule type="colorScale" priority="4">
      <colorScale>
        <cfvo type="num" val="-0.3"/>
        <cfvo type="num" val="0"/>
        <cfvo type="num" val="0.5"/>
        <color rgb="00F8696B"/>
        <color rgb="00FFFFFF"/>
        <color rgb="0063BE7B"/>
      </colorScale>
    </cfRule>
  </conditionalFormatting>
  <conditionalFormatting sqref="J5:J12">
    <cfRule type="colorScale" priority="5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K5:K12">
    <cfRule type="colorScale" priority="6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L5:L12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5:M12">
    <cfRule type="colorScale" priority="8">
      <colorScale>
        <cfvo type="num" val="20"/>
        <cfvo type="num" val="50"/>
        <cfvo type="num" val="80"/>
        <color rgb="0063BE7B"/>
        <color rgb="00FFFFFF"/>
        <color rgb="00F8696B"/>
      </colorScale>
    </cfRule>
  </conditionalFormatting>
  <conditionalFormatting sqref="O5:O12">
    <cfRule type="colorScale" priority="9">
      <colorScale>
        <cfvo type="num" val="-0.2"/>
        <cfvo type="num" val="0"/>
        <cfvo type="num" val="0.2"/>
        <color rgb="0063BE7B"/>
        <color rgb="00FFFFFF"/>
        <color rgb="00F8696B"/>
      </colorScale>
    </cfRule>
  </conditionalFormatting>
  <conditionalFormatting sqref="P5:P12">
    <cfRule type="expression" priority="10" dxfId="0">
      <formula>ISNUMBER(SEARCH("派发",P5))</formula>
    </cfRule>
    <cfRule type="expression" priority="11" dxfId="1">
      <formula>ISNUMBER(SEARCH("建仓",P5))</formula>
    </cfRule>
    <cfRule type="expression" priority="12" dxfId="2">
      <formula>ISNUMBER(SEARCH("流入",P5))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11" customWidth="1" min="3" max="3"/>
    <col width="11" customWidth="1" min="4" max="4"/>
    <col width="9" customWidth="1" min="5" max="5"/>
    <col width="11" customWidth="1" min="6" max="6"/>
    <col width="9" customWidth="1" min="7" max="7"/>
    <col width="9" customWidth="1" min="8" max="8"/>
    <col width="11" customWidth="1" min="9" max="9"/>
    <col width="9" customWidth="1" min="10" max="10"/>
    <col width="11" customWidth="1" min="11" max="11"/>
    <col width="9" customWidth="1" min="12" max="12"/>
    <col width="9" customWidth="1" min="13" max="13"/>
    <col width="12" customWidth="1" min="14" max="14"/>
    <col width="13" customWidth="1" min="15" max="15"/>
    <col width="24" customWidth="1" min="16" max="16"/>
  </cols>
  <sheetData>
    <row r="1">
      <c r="A1" s="7" t="inlineStr">
        <is>
          <t>💰 A 股 存储/AI (4 只) 资金分配方案</t>
        </is>
      </c>
    </row>
    <row r="2">
      <c r="A2" s="2" t="inlineStr">
        <is>
          <t>总资金 ¥100,000 | 数据时间: 实时(yfinance)</t>
        </is>
      </c>
    </row>
    <row r="4">
      <c r="A4" s="11" t="inlineStr">
        <is>
          <t>代码</t>
        </is>
      </c>
      <c r="B4" s="11" t="inlineStr">
        <is>
          <t>名称</t>
        </is>
      </c>
      <c r="C4" s="11" t="inlineStr">
        <is>
          <t>综合分</t>
        </is>
      </c>
      <c r="D4" s="11" t="inlineStr">
        <is>
          <t>分配 %</t>
        </is>
      </c>
      <c r="E4" s="11" t="inlineStr">
        <is>
          <t>分配金额</t>
        </is>
      </c>
      <c r="F4" s="11" t="inlineStr">
        <is>
          <t>估算手数</t>
        </is>
      </c>
      <c r="G4" s="11" t="inlineStr">
        <is>
          <t>市值</t>
        </is>
      </c>
      <c r="H4" s="11" t="inlineStr">
        <is>
          <t>PE</t>
        </is>
      </c>
      <c r="I4" s="11" t="inlineStr">
        <is>
          <t>营收增长</t>
        </is>
      </c>
      <c r="J4" s="11" t="inlineStr">
        <is>
          <t>利润率</t>
        </is>
      </c>
      <c r="K4" s="11" t="inlineStr">
        <is>
          <t>ROE</t>
        </is>
      </c>
      <c r="L4" s="11" t="inlineStr">
        <is>
          <t>位置 %</t>
        </is>
      </c>
      <c r="M4" s="11" t="inlineStr">
        <is>
          <t>RSI</t>
        </is>
      </c>
      <c r="N4" s="11" t="inlineStr">
        <is>
          <t>60d VWAP</t>
        </is>
      </c>
      <c r="O4" s="11" t="inlineStr">
        <is>
          <t>当前/VWAP</t>
        </is>
      </c>
      <c r="P4" s="11" t="inlineStr">
        <is>
          <t>主力推断</t>
        </is>
      </c>
    </row>
    <row r="5">
      <c r="A5" s="12" t="inlineStr">
        <is>
          <t>603893.SS</t>
        </is>
      </c>
      <c r="B5" s="12" t="inlineStr">
        <is>
          <t>Rockchip Electronics Co.,</t>
        </is>
      </c>
      <c r="C5" s="12" t="n">
        <v>48</v>
      </c>
      <c r="D5" s="13" t="n">
        <v>0.4</v>
      </c>
      <c r="E5" s="24" t="n">
        <v>40000</v>
      </c>
      <c r="F5" s="12" t="n">
        <v>222</v>
      </c>
      <c r="G5" s="15" t="n">
        <v>76014780416</v>
      </c>
      <c r="H5" s="16" t="n">
        <v>65.65818</v>
      </c>
      <c r="I5" s="13" t="n">
        <v>0.362</v>
      </c>
      <c r="J5" s="13" t="n">
        <v>0.24555999</v>
      </c>
      <c r="K5" s="13" t="n">
        <v>0.27346</v>
      </c>
      <c r="L5" s="17" t="n">
        <v>36.4</v>
      </c>
      <c r="M5" s="16" t="n">
        <v>56.8</v>
      </c>
      <c r="N5" s="18" t="n">
        <v>172.32</v>
      </c>
      <c r="O5" s="19" t="n">
        <v>0.0413</v>
      </c>
      <c r="P5" s="20" t="inlineStr">
        <is>
          <t>➖ 量价中性</t>
        </is>
      </c>
    </row>
    <row r="6">
      <c r="A6" s="12" t="inlineStr">
        <is>
          <t>002230.SZ</t>
        </is>
      </c>
      <c r="B6" s="12" t="inlineStr">
        <is>
          <t>iFLYTEK CO.,LTD</t>
        </is>
      </c>
      <c r="C6" s="12" t="n">
        <v>30</v>
      </c>
      <c r="D6" s="13" t="n">
        <v>0.2769230769230769</v>
      </c>
      <c r="E6" s="24" t="n">
        <v>27692.3076923077</v>
      </c>
      <c r="F6" s="12" t="n">
        <v>567</v>
      </c>
      <c r="G6" s="15" t="n">
        <v>118662742016</v>
      </c>
      <c r="H6" s="16" t="n">
        <v>133.51352</v>
      </c>
      <c r="I6" s="13" t="n">
        <v>0.132</v>
      </c>
      <c r="J6" s="13" t="n">
        <v>0.03113</v>
      </c>
      <c r="K6" s="13" t="n">
        <v>0.04538</v>
      </c>
      <c r="L6" s="17" t="n">
        <v>17.3</v>
      </c>
      <c r="M6" s="16" t="n">
        <v>48.7</v>
      </c>
      <c r="N6" s="18" t="n">
        <v>51.5</v>
      </c>
      <c r="O6" s="19" t="n">
        <v>-0.0519</v>
      </c>
      <c r="P6" s="20" t="inlineStr">
        <is>
          <t>➖ 量价中性</t>
        </is>
      </c>
    </row>
    <row r="7">
      <c r="A7" s="12" t="inlineStr">
        <is>
          <t>603160.SS</t>
        </is>
      </c>
      <c r="B7" s="12" t="inlineStr">
        <is>
          <t>Shenzhen Goodix Technolog</t>
        </is>
      </c>
      <c r="C7" s="12" t="n">
        <v>25</v>
      </c>
      <c r="D7" s="13" t="n">
        <v>0.2341880341880342</v>
      </c>
      <c r="E7" s="24" t="n">
        <v>23418.80341880342</v>
      </c>
      <c r="F7" s="12" t="n">
        <v>352</v>
      </c>
      <c r="G7" s="15" t="n">
        <v>31601100800</v>
      </c>
      <c r="H7" s="16" t="n">
        <v>41.359756</v>
      </c>
      <c r="I7" s="13" t="n">
        <v>-0.09</v>
      </c>
      <c r="J7" s="13" t="n">
        <v>0.16354999</v>
      </c>
      <c r="K7" s="13" t="n">
        <v>0.082720004</v>
      </c>
      <c r="L7" s="17" t="n">
        <v>13.4</v>
      </c>
      <c r="M7" s="16" t="n">
        <v>45.9</v>
      </c>
      <c r="N7" s="18" t="n">
        <v>70.3</v>
      </c>
      <c r="O7" s="19" t="n">
        <v>-0.05599999999999999</v>
      </c>
      <c r="P7" s="20" t="inlineStr">
        <is>
          <t>🔻 放量下跌 → 主力疑似派发</t>
        </is>
      </c>
    </row>
    <row r="8">
      <c r="A8" s="12" t="inlineStr">
        <is>
          <t>603690.SS</t>
        </is>
      </c>
      <c r="B8" s="12" t="inlineStr">
        <is>
          <t xml:space="preserve">PNC Process Systems Co., </t>
        </is>
      </c>
      <c r="C8" s="12" t="n">
        <v>8</v>
      </c>
      <c r="D8" s="13" t="n">
        <v>0.08888888888888889</v>
      </c>
      <c r="E8" s="24" t="n">
        <v>8888.888888888889</v>
      </c>
      <c r="F8" s="12" t="n">
        <v>330</v>
      </c>
      <c r="G8" s="15" t="n">
        <v>10539176960</v>
      </c>
      <c r="H8" s="16" t="n"/>
      <c r="I8" s="13" t="n">
        <v>-0.317</v>
      </c>
      <c r="J8" s="13" t="n">
        <v>-0.02538</v>
      </c>
      <c r="K8" s="13" t="n">
        <v>-0.03528</v>
      </c>
      <c r="L8" s="17" t="n">
        <v>20.3</v>
      </c>
      <c r="M8" s="16" t="n">
        <v>59.1</v>
      </c>
      <c r="N8" s="18" t="n">
        <v>26.28</v>
      </c>
      <c r="O8" s="19" t="n">
        <v>0.0223</v>
      </c>
      <c r="P8" s="20" t="inlineStr">
        <is>
          <t>✅ 资金温和净流入</t>
        </is>
      </c>
    </row>
    <row r="10">
      <c r="A10" s="21" t="inlineStr">
        <is>
          <t>💰 总计</t>
        </is>
      </c>
      <c r="B10" s="21" t="n"/>
      <c r="C10" s="21" t="n"/>
      <c r="D10" s="22">
        <f>SUM(D5:D8)</f>
        <v/>
      </c>
      <c r="E10" s="25">
        <f>SUM(E5:E8)</f>
        <v/>
      </c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</row>
  </sheetData>
  <mergeCells count="2">
    <mergeCell ref="A1:P1"/>
    <mergeCell ref="A2:P2"/>
  </mergeCells>
  <conditionalFormatting sqref="C5:C8">
    <cfRule type="colorScale" priority="1">
      <colorScale>
        <cfvo type="num" val="0"/>
        <cfvo type="num" val="40"/>
        <cfvo type="num" val="80"/>
        <color rgb="00F8696B"/>
        <color rgb="00FFEB84"/>
        <color rgb="0063BE7B"/>
      </colorScale>
    </cfRule>
  </conditionalFormatting>
  <conditionalFormatting sqref="D5:D8">
    <cfRule type="dataBar" priority="2">
      <dataBar>
        <cfvo type="min"/>
        <cfvo type="max"/>
        <color rgb="005B9BD5"/>
      </dataBar>
    </cfRule>
  </conditionalFormatting>
  <conditionalFormatting sqref="E5:E8">
    <cfRule type="dataBar" priority="3">
      <dataBar>
        <cfvo type="min"/>
        <cfvo type="max"/>
        <color rgb="0070AD47"/>
      </dataBar>
    </cfRule>
  </conditionalFormatting>
  <conditionalFormatting sqref="I5:I8">
    <cfRule type="colorScale" priority="4">
      <colorScale>
        <cfvo type="num" val="-0.3"/>
        <cfvo type="num" val="0"/>
        <cfvo type="num" val="0.5"/>
        <color rgb="00F8696B"/>
        <color rgb="00FFFFFF"/>
        <color rgb="0063BE7B"/>
      </colorScale>
    </cfRule>
  </conditionalFormatting>
  <conditionalFormatting sqref="J5:J8">
    <cfRule type="colorScale" priority="5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K5:K8">
    <cfRule type="colorScale" priority="6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L5:L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5:M8">
    <cfRule type="colorScale" priority="8">
      <colorScale>
        <cfvo type="num" val="20"/>
        <cfvo type="num" val="50"/>
        <cfvo type="num" val="80"/>
        <color rgb="0063BE7B"/>
        <color rgb="00FFFFFF"/>
        <color rgb="00F8696B"/>
      </colorScale>
    </cfRule>
  </conditionalFormatting>
  <conditionalFormatting sqref="O5:O8">
    <cfRule type="colorScale" priority="9">
      <colorScale>
        <cfvo type="num" val="-0.2"/>
        <cfvo type="num" val="0"/>
        <cfvo type="num" val="0.2"/>
        <color rgb="0063BE7B"/>
        <color rgb="00FFFFFF"/>
        <color rgb="00F8696B"/>
      </colorScale>
    </cfRule>
  </conditionalFormatting>
  <conditionalFormatting sqref="P5:P8">
    <cfRule type="expression" priority="10" dxfId="0">
      <formula>ISNUMBER(SEARCH("派发",P5))</formula>
    </cfRule>
    <cfRule type="expression" priority="11" dxfId="1">
      <formula>ISNUMBER(SEARCH("建仓",P5))</formula>
    </cfRule>
    <cfRule type="expression" priority="12" dxfId="2">
      <formula>ISNUMBER(SEARCH("流入",P5))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30" customWidth="1" min="4" max="4"/>
    <col width="22" customWidth="1" min="5" max="5"/>
    <col width="30" customWidth="1" min="6" max="6"/>
  </cols>
  <sheetData>
    <row r="1">
      <c r="A1" s="7" t="inlineStr">
        <is>
          <t>⚡ 主力资金信号 + 筹码状态</t>
        </is>
      </c>
    </row>
    <row r="3">
      <c r="A3" s="11" t="inlineStr">
        <is>
          <t>代码</t>
        </is>
      </c>
      <c r="B3" s="11" t="inlineStr">
        <is>
          <t>名称</t>
        </is>
      </c>
      <c r="C3" s="11" t="inlineStr">
        <is>
          <t>市场</t>
        </is>
      </c>
      <c r="D3" s="11" t="inlineStr">
        <is>
          <t>筹码状态</t>
        </is>
      </c>
      <c r="E3" s="11" t="inlineStr">
        <is>
          <t>主力推断</t>
        </is>
      </c>
      <c r="F3" s="11" t="inlineStr">
        <is>
          <t>操作建议</t>
        </is>
      </c>
    </row>
    <row r="4">
      <c r="A4" s="20" t="inlineStr">
        <is>
          <t>EXE</t>
        </is>
      </c>
      <c r="B4" s="20" t="inlineStr">
        <is>
          <t>Expand Energy Corporation</t>
        </is>
      </c>
      <c r="C4" s="20" t="inlineStr">
        <is>
          <t>🇺🇸 美股</t>
        </is>
      </c>
      <c r="D4" s="20" t="inlineStr">
        <is>
          <t>深套(price &lt; 60d VWAP -5%)</t>
        </is>
      </c>
      <c r="E4" s="20" t="inlineStr">
        <is>
          <t>➖ 量价中性</t>
        </is>
      </c>
      <c r="F4" s="20" t="inlineStr">
        <is>
          <t>⚪ 量价无明显方向,按计划执行</t>
        </is>
      </c>
    </row>
    <row r="5">
      <c r="A5" s="20" t="inlineStr">
        <is>
          <t>VST</t>
        </is>
      </c>
      <c r="B5" s="20" t="inlineStr">
        <is>
          <t>Vistra Corp.</t>
        </is>
      </c>
      <c r="C5" s="20" t="inlineStr">
        <is>
          <t>🇺🇸 美股</t>
        </is>
      </c>
      <c r="D5" s="20" t="inlineStr">
        <is>
          <t>深套(price &lt; 60d VWAP -5%)</t>
        </is>
      </c>
      <c r="E5" s="20" t="inlineStr">
        <is>
          <t>🔻 放量下跌 → 主力疑似派发</t>
        </is>
      </c>
      <c r="F5" s="20" t="inlineStr">
        <is>
          <t>🔴 警惕! 首笔不超过分配额 30%,等回调</t>
        </is>
      </c>
    </row>
    <row r="6">
      <c r="A6" s="20" t="inlineStr">
        <is>
          <t>PEG</t>
        </is>
      </c>
      <c r="B6" s="20" t="inlineStr">
        <is>
          <t>Public Service Enterprise</t>
        </is>
      </c>
      <c r="C6" s="20" t="inlineStr">
        <is>
          <t>🇺🇸 美股</t>
        </is>
      </c>
      <c r="D6" s="20" t="inlineStr">
        <is>
          <t>深套(price &lt; 60d VWAP -5%)</t>
        </is>
      </c>
      <c r="E6" s="20" t="inlineStr">
        <is>
          <t>➖ 量价中性</t>
        </is>
      </c>
      <c r="F6" s="20" t="inlineStr">
        <is>
          <t>⚪ 量价无明显方向,按计划执行</t>
        </is>
      </c>
    </row>
    <row r="7">
      <c r="A7" s="20" t="inlineStr">
        <is>
          <t>CEG</t>
        </is>
      </c>
      <c r="B7" s="20" t="inlineStr">
        <is>
          <t>Constellation Energy Corp</t>
        </is>
      </c>
      <c r="C7" s="20" t="inlineStr">
        <is>
          <t>🇺🇸 美股</t>
        </is>
      </c>
      <c r="D7" s="20" t="inlineStr">
        <is>
          <t>深套(price &lt; 60d VWAP -5%)</t>
        </is>
      </c>
      <c r="E7" s="20" t="inlineStr">
        <is>
          <t>🔻 放量下跌 → 主力疑似派发</t>
        </is>
      </c>
      <c r="F7" s="20" t="inlineStr">
        <is>
          <t>🔴 警惕! 首笔不超过分配额 30%,等回调</t>
        </is>
      </c>
    </row>
    <row r="8">
      <c r="A8" s="20" t="inlineStr">
        <is>
          <t>NRG</t>
        </is>
      </c>
      <c r="B8" s="20" t="inlineStr">
        <is>
          <t>NRG Energy, Inc.</t>
        </is>
      </c>
      <c r="C8" s="20" t="inlineStr">
        <is>
          <t>🇺🇸 美股</t>
        </is>
      </c>
      <c r="D8" s="20" t="inlineStr">
        <is>
          <t>深套(price &lt; 60d VWAP -5%)</t>
        </is>
      </c>
      <c r="E8" s="20" t="inlineStr">
        <is>
          <t>🔻 放量下跌 → 主力疑似派发</t>
        </is>
      </c>
      <c r="F8" s="20" t="inlineStr">
        <is>
          <t>🔴 警惕! 首笔不超过分配额 30%,等回调</t>
        </is>
      </c>
    </row>
    <row r="9">
      <c r="A9" s="20" t="inlineStr">
        <is>
          <t>STEM</t>
        </is>
      </c>
      <c r="B9" s="20" t="inlineStr">
        <is>
          <t>Stem, Inc.</t>
        </is>
      </c>
      <c r="C9" s="20" t="inlineStr">
        <is>
          <t>🇺🇸 美股</t>
        </is>
      </c>
      <c r="D9" s="20" t="inlineStr">
        <is>
          <t>深套(price &lt; 60d VWAP -5%)</t>
        </is>
      </c>
      <c r="E9" s="20" t="inlineStr">
        <is>
          <t>➖ 量价中性</t>
        </is>
      </c>
      <c r="F9" s="20" t="inlineStr">
        <is>
          <t>⚪ 量价无明显方向,按计划执行</t>
        </is>
      </c>
    </row>
    <row r="10">
      <c r="A10" s="20" t="inlineStr">
        <is>
          <t>SMR</t>
        </is>
      </c>
      <c r="B10" s="20" t="inlineStr">
        <is>
          <t>NuScale Power Corporation</t>
        </is>
      </c>
      <c r="C10" s="20" t="inlineStr">
        <is>
          <t>🇺🇸 美股</t>
        </is>
      </c>
      <c r="D10" s="20" t="inlineStr">
        <is>
          <t>成本附近震荡</t>
        </is>
      </c>
      <c r="E10" s="20" t="inlineStr">
        <is>
          <t>➖ 量价中性</t>
        </is>
      </c>
      <c r="F10" s="20" t="inlineStr">
        <is>
          <t>⚪ 量价无明显方向,按计划执行</t>
        </is>
      </c>
    </row>
    <row r="11">
      <c r="A11" s="20" t="inlineStr">
        <is>
          <t>OKLO</t>
        </is>
      </c>
      <c r="B11" s="20" t="inlineStr">
        <is>
          <t>Oklo Inc.</t>
        </is>
      </c>
      <c r="C11" s="20" t="inlineStr">
        <is>
          <t>🇺🇸 美股</t>
        </is>
      </c>
      <c r="D11" s="20" t="inlineStr">
        <is>
          <t>套利盘多(price &gt; 60d VWAP +5%)</t>
        </is>
      </c>
      <c r="E11" s="20" t="inlineStr">
        <is>
          <t>➖ 量价中性</t>
        </is>
      </c>
      <c r="F11" s="20" t="inlineStr">
        <is>
          <t>⚪ 量价无明显方向,按计划执行</t>
        </is>
      </c>
    </row>
    <row r="12">
      <c r="A12" s="20" t="inlineStr">
        <is>
          <t>603893.SS</t>
        </is>
      </c>
      <c r="B12" s="20" t="inlineStr">
        <is>
          <t>Rockchip Electronics Co.,</t>
        </is>
      </c>
      <c r="C12" s="20" t="inlineStr">
        <is>
          <t>🇨🇳 A 股</t>
        </is>
      </c>
      <c r="D12" s="20" t="inlineStr">
        <is>
          <t>成本附近震荡</t>
        </is>
      </c>
      <c r="E12" s="20" t="inlineStr">
        <is>
          <t>➖ 量价中性</t>
        </is>
      </c>
      <c r="F12" s="20" t="inlineStr">
        <is>
          <t>⚪ 量价无明显方向,按计划执行</t>
        </is>
      </c>
    </row>
    <row r="13">
      <c r="A13" s="20" t="inlineStr">
        <is>
          <t>002230.SZ</t>
        </is>
      </c>
      <c r="B13" s="20" t="inlineStr">
        <is>
          <t>iFLYTEK CO.,LTD</t>
        </is>
      </c>
      <c r="C13" s="20" t="inlineStr">
        <is>
          <t>🇨🇳 A 股</t>
        </is>
      </c>
      <c r="D13" s="20" t="inlineStr">
        <is>
          <t>深套(price &lt; 60d VWAP -5%)</t>
        </is>
      </c>
      <c r="E13" s="20" t="inlineStr">
        <is>
          <t>➖ 量价中性</t>
        </is>
      </c>
      <c r="F13" s="20" t="inlineStr">
        <is>
          <t>⚪ 量价无明显方向,按计划执行</t>
        </is>
      </c>
    </row>
    <row r="14">
      <c r="A14" s="20" t="inlineStr">
        <is>
          <t>603160.SS</t>
        </is>
      </c>
      <c r="B14" s="20" t="inlineStr">
        <is>
          <t>Shenzhen Goodix Technolog</t>
        </is>
      </c>
      <c r="C14" s="20" t="inlineStr">
        <is>
          <t>🇨🇳 A 股</t>
        </is>
      </c>
      <c r="D14" s="20" t="inlineStr">
        <is>
          <t>深套(price &lt; 60d VWAP -5%)</t>
        </is>
      </c>
      <c r="E14" s="20" t="inlineStr">
        <is>
          <t>🔻 放量下跌 → 主力疑似派发</t>
        </is>
      </c>
      <c r="F14" s="20" t="inlineStr">
        <is>
          <t>🔴 警惕! 首笔不超过分配额 30%,等回调</t>
        </is>
      </c>
    </row>
    <row r="15">
      <c r="A15" s="20" t="inlineStr">
        <is>
          <t>603690.SS</t>
        </is>
      </c>
      <c r="B15" s="20" t="inlineStr">
        <is>
          <t xml:space="preserve">PNC Process Systems Co., </t>
        </is>
      </c>
      <c r="C15" s="20" t="inlineStr">
        <is>
          <t>🇨🇳 A 股</t>
        </is>
      </c>
      <c r="D15" s="20" t="inlineStr">
        <is>
          <t>成本附近震荡</t>
        </is>
      </c>
      <c r="E15" s="20" t="inlineStr">
        <is>
          <t>✅ 资金温和净流入</t>
        </is>
      </c>
      <c r="F15" s="20" t="inlineStr">
        <is>
          <t>🟢 资金温和买入 - 可正常配置</t>
        </is>
      </c>
    </row>
  </sheetData>
  <mergeCells count="1">
    <mergeCell ref="A1:F1"/>
  </mergeCells>
  <conditionalFormatting sqref="A4:F15">
    <cfRule type="expression" priority="1" dxfId="0">
      <formula>ISNUMBER(SEARCH("派发",$E4))</formula>
    </cfRule>
    <cfRule type="expression" priority="2" dxfId="1">
      <formula>ISNUMBER(SEARCH("建仓",$E4))</formula>
    </cfRule>
    <cfRule type="expression" priority="3" dxfId="2">
      <formula>ISNUMBER(SEARCH("流入",$E4))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2026-05-13T16:43:27Z</dcterms:created>
  <dcterms:modified xsi:type="dcterms:W3CDTF">2026-05-13T16:43:27Z</dcterms:modified>
</cp:coreProperties>
</file>