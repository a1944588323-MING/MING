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总览" sheetId="1" state="visible" r:id="rId1"/>
    <sheet name="🇺🇸 美股 AI 能源" sheetId="2" state="visible" r:id="rId2"/>
    <sheet name="🇨🇳 A股 存储与AI" sheetId="3" state="visible" r:id="rId3"/>
    <sheet name="🌊 Wyckoff 详细" sheetId="4" state="visible" r:id="rId4"/>
    <sheet name="⚡ 操作信号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"/>
    <numFmt numFmtId="166" formatCode="0.0"/>
    <numFmt numFmtId="167" formatCode="0.0&quot;%&quot;"/>
    <numFmt numFmtId="168" formatCode="&quot;¥&quot;#,##0"/>
    <numFmt numFmtId="169" formatCode="+0.00&quot;%&quot;;-0.00&quot;%&quot;"/>
  </numFmts>
  <fonts count="10">
    <font>
      <name val="Calibri"/>
      <family val="2"/>
      <color theme="1"/>
      <sz val="11"/>
      <scheme val="minor"/>
    </font>
    <font>
      <name val="微软雅黑"/>
      <b val="1"/>
      <color rgb="001F4E78"/>
      <sz val="18"/>
    </font>
    <font>
      <name val="微软雅黑"/>
      <i val="1"/>
      <color rgb="00808080"/>
      <sz val="10"/>
    </font>
    <font>
      <name val="微软雅黑"/>
      <b val="1"/>
      <color rgb="00FFFFFF"/>
      <sz val="11"/>
    </font>
    <font>
      <name val="微软雅黑"/>
      <b val="1"/>
      <sz val="11"/>
    </font>
    <font>
      <name val="微软雅黑"/>
      <b val="1"/>
      <color rgb="001F4E78"/>
      <sz val="14"/>
    </font>
    <font>
      <name val="微软雅黑"/>
      <b val="1"/>
      <sz val="10"/>
    </font>
    <font>
      <name val="微软雅黑"/>
      <sz val="10"/>
    </font>
    <font>
      <name val="微软雅黑"/>
      <color rgb="00C00000"/>
      <sz val="10"/>
    </font>
    <font>
      <name val="微软雅黑"/>
      <b val="1"/>
      <color rgb="00C00000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4" fontId="7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left" vertical="center" wrapText="1"/>
    </xf>
    <xf numFmtId="3" fontId="7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7" fontId="7" fillId="0" borderId="1" applyAlignment="1" pivotButton="0" quotePrefix="0" xfId="0">
      <alignment horizontal="center" vertical="center" wrapText="1"/>
    </xf>
    <xf numFmtId="9" fontId="7" fillId="0" borderId="1" applyAlignment="1" pivotButton="0" quotePrefix="0" xfId="0">
      <alignment horizontal="center" vertical="center" wrapText="1"/>
    </xf>
    <xf numFmtId="2" fontId="7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164" fontId="4" fillId="5" borderId="1" applyAlignment="1" pivotButton="0" quotePrefix="0" xfId="0">
      <alignment horizontal="center" vertical="center" wrapText="1"/>
    </xf>
    <xf numFmtId="165" fontId="4" fillId="5" borderId="1" applyAlignment="1" pivotButton="0" quotePrefix="0" xfId="0">
      <alignment horizontal="center" vertical="center" wrapText="1"/>
    </xf>
    <xf numFmtId="0" fontId="9" fillId="0" borderId="0" pivotButton="0" quotePrefix="0" xfId="0"/>
    <xf numFmtId="168" fontId="7" fillId="0" borderId="1" applyAlignment="1" pivotButton="0" quotePrefix="0" xfId="0">
      <alignment horizontal="left" vertical="center" wrapText="1"/>
    </xf>
    <xf numFmtId="168" fontId="4" fillId="5" borderId="1" applyAlignment="1" pivotButton="0" quotePrefix="0" xfId="0">
      <alignment horizontal="center" vertical="center" wrapText="1"/>
    </xf>
    <xf numFmtId="169" fontId="7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4">
    <dxf>
      <fill>
        <patternFill patternType="solid">
          <fgColor rgb="00C6EFCE"/>
          <bgColor rgb="00C6EFCE"/>
        </patternFill>
      </fill>
    </dxf>
    <dxf>
      <fill>
        <patternFill patternType="solid">
          <fgColor rgb="00E2EFDA"/>
          <bgColor rgb="00E2EFDA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FE6E6"/>
          <bgColor rgb="00FFE6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美股 AI 能源 (8 只) - 首批资金分配</a:t>
            </a:r>
          </a:p>
        </rich>
      </tx>
    </title>
    <plotArea>
      <pieChart>
        <varyColors val="1"/>
        <ser>
          <idx val="0"/>
          <order val="0"/>
          <tx>
            <strRef>
              <f>'🇺🇸 美股 AI 能源'!O4</f>
            </strRef>
          </tx>
          <spPr>
            <a:ln>
              <a:prstDash val="solid"/>
            </a:ln>
          </spPr>
          <cat>
            <numRef>
              <f>'🇺🇸 美股 AI 能源'!$A$5:$A$12</f>
            </numRef>
          </cat>
          <val>
            <numRef>
              <f>'🇺🇸 美股 AI 能源'!$O$5:$O$12</f>
            </numRef>
          </val>
        </ser>
        <dLbls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Wyckoff 首批仓位 %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'🇺🇸 美股 AI 能源'!N4</f>
            </strRef>
          </tx>
          <spPr>
            <a:ln>
              <a:prstDash val="solid"/>
            </a:ln>
          </spPr>
          <cat>
            <numRef>
              <f>'🇺🇸 美股 AI 能源'!$A$5:$A$12</f>
            </numRef>
          </cat>
          <val>
            <numRef>
              <f>'🇺🇸 美股 AI 能源'!$N$5:$N$12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 股 存储 AI (4 只) - 首批资金分配</a:t>
            </a:r>
          </a:p>
        </rich>
      </tx>
    </title>
    <plotArea>
      <pieChart>
        <varyColors val="1"/>
        <ser>
          <idx val="0"/>
          <order val="0"/>
          <tx>
            <strRef>
              <f>'🇨🇳 A股 存储与AI'!O4</f>
            </strRef>
          </tx>
          <spPr>
            <a:ln>
              <a:prstDash val="solid"/>
            </a:ln>
          </spPr>
          <cat>
            <numRef>
              <f>'🇨🇳 A股 存储与AI'!$A$5:$A$8</f>
            </numRef>
          </cat>
          <val>
            <numRef>
              <f>'🇨🇳 A股 存储与AI'!$O$5:$O$8</f>
            </numRef>
          </val>
        </ser>
        <dLbls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Wyckoff 首批仓位 %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'🇨🇳 A股 存储与AI'!N4</f>
            </strRef>
          </tx>
          <spPr>
            <a:ln>
              <a:prstDash val="solid"/>
            </a:ln>
          </spPr>
          <cat>
            <numRef>
              <f>'🇨🇳 A股 存储与AI'!$A$5:$A$8</f>
            </numRef>
          </cat>
          <val>
            <numRef>
              <f>'🇨🇳 A股 存储与AI'!$N$5:$N$8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18</col>
      <colOff>0</colOff>
      <row>3</row>
      <rowOff>0</rowOff>
    </from>
    <ext cx="576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25</row>
      <rowOff>0</rowOff>
    </from>
    <ext cx="576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18</col>
      <colOff>0</colOff>
      <row>3</row>
      <rowOff>0</rowOff>
    </from>
    <ext cx="576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25</row>
      <rowOff>0</rowOff>
    </from>
    <ext cx="576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📊 资金分配 + Wyckoff 形态分析 - 总览</t>
        </is>
      </c>
    </row>
    <row r="2">
      <c r="A2" s="2" t="inlineStr">
        <is>
          <t>数据来源: yfinance | Wyckoff 阶段: A/B/C/D/E (吸筹/派发) | 主力推断: OBV+CMF+涨跌量比</t>
        </is>
      </c>
    </row>
    <row r="4">
      <c r="A4" s="3" t="inlineStr">
        <is>
          <t>组合</t>
        </is>
      </c>
      <c r="B4" s="3" t="inlineStr">
        <is>
          <t>股票数</t>
        </is>
      </c>
      <c r="C4" s="3" t="inlineStr">
        <is>
          <t>强建仓</t>
        </is>
      </c>
      <c r="D4" s="3" t="inlineStr">
        <is>
          <t>试探仓</t>
        </is>
      </c>
      <c r="E4" s="3" t="inlineStr">
        <is>
          <t>禁止建仓</t>
        </is>
      </c>
    </row>
    <row r="5">
      <c r="A5" s="4" t="inlineStr">
        <is>
          <t>🇺🇸 美股 AI 能源</t>
        </is>
      </c>
      <c r="B5" s="5" t="n">
        <v>8</v>
      </c>
      <c r="C5" s="5" t="n">
        <v>2</v>
      </c>
      <c r="D5" s="5" t="n">
        <v>2</v>
      </c>
      <c r="E5" s="5" t="n">
        <v>4</v>
      </c>
    </row>
    <row r="6">
      <c r="A6" s="6" t="inlineStr">
        <is>
          <t>🇨🇳 A 股 存储 AI</t>
        </is>
      </c>
      <c r="B6" s="5" t="n">
        <v>4</v>
      </c>
      <c r="C6" s="5" t="n">
        <v>3</v>
      </c>
      <c r="D6" s="5" t="n">
        <v>0</v>
      </c>
      <c r="E6" s="5" t="n">
        <v>1</v>
      </c>
    </row>
    <row r="8">
      <c r="A8" s="7" t="inlineStr">
        <is>
          <t>📚 Wyckoff 阶段说明</t>
        </is>
      </c>
    </row>
    <row r="9">
      <c r="A9" s="8" t="inlineStr">
        <is>
          <t>吸筹周期 A 阶段(止跌)</t>
        </is>
      </c>
      <c r="B9" s="9" t="inlineStr">
        <is>
          <t>长期下跌后初步止跌,价格停止创新低。⚠️ 还不能建仓</t>
        </is>
      </c>
    </row>
    <row r="10">
      <c r="A10" s="8" t="inlineStr">
        <is>
          <t>吸筹周期 B 阶段(吸筹震荡)</t>
        </is>
      </c>
      <c r="B10" s="9" t="inlineStr">
        <is>
          <t>横盘震荡,主力低位吸筹。🟡 可小仓位试探(20-30%)</t>
        </is>
      </c>
    </row>
    <row r="11">
      <c r="A11" s="8" t="inlineStr">
        <is>
          <t>吸筹周期 C 阶段(Spring 假跌破)</t>
        </is>
      </c>
      <c r="B11" s="9" t="inlineStr">
        <is>
          <t>短暂跌破前低后强力收回。✅ 最佳建仓点(60% 重仓)</t>
        </is>
      </c>
    </row>
    <row r="12">
      <c r="A12" s="8" t="inlineStr">
        <is>
          <t>吸筹周期 D 阶段(SOS 强势)</t>
        </is>
      </c>
      <c r="B12" s="9" t="inlineStr">
        <is>
          <t>Sign of Strength,放量上涨突破。✅ 趋势确认建仓(70%)</t>
        </is>
      </c>
    </row>
    <row r="13">
      <c r="A13" s="8" t="inlineStr">
        <is>
          <t>吸筹周期 E 阶段(上升趋势)</t>
        </is>
      </c>
      <c r="B13" s="9" t="inlineStr">
        <is>
          <t>脱离吸筹区进入上升通道。🟢 已在趋势中,回踩加仓</t>
        </is>
      </c>
    </row>
    <row r="14">
      <c r="A14" s="8" t="inlineStr">
        <is>
          <t>派发周期 A 阶段(派发开始)</t>
        </is>
      </c>
      <c r="B14" s="9" t="inlineStr">
        <is>
          <t>高位放量但 OBV 走弱。🚫 不建仓</t>
        </is>
      </c>
    </row>
    <row r="15">
      <c r="A15" s="8" t="inlineStr">
        <is>
          <t>派发周期 B 阶段(派发震荡)</t>
        </is>
      </c>
      <c r="B15" s="9" t="inlineStr">
        <is>
          <t>高位横盘,主力派发。🚫 不建仓</t>
        </is>
      </c>
    </row>
    <row r="16">
      <c r="A16" s="8" t="inlineStr">
        <is>
          <t>派发周期 C 阶段(UTAD 假突破)</t>
        </is>
      </c>
      <c r="B16" s="9" t="inlineStr">
        <is>
          <t>短暂突破前高后回落。🚫 顶部信号,远离</t>
        </is>
      </c>
    </row>
    <row r="17">
      <c r="A17" s="8" t="inlineStr">
        <is>
          <t>派发周期 D 阶段(SOW 弱势)</t>
        </is>
      </c>
      <c r="B17" s="9" t="inlineStr">
        <is>
          <t>Sign of Weakness,跌破支撑。🚫 等待跌至 MA200 再评估</t>
        </is>
      </c>
    </row>
    <row r="18">
      <c r="A18" s="8" t="inlineStr">
        <is>
          <t>派发周期 E 阶段(下跌趋势)</t>
        </is>
      </c>
      <c r="B18" s="9" t="inlineStr">
        <is>
          <t>进入下降通道。🚫 等止跌信号</t>
        </is>
      </c>
    </row>
    <row r="20">
      <c r="A20" s="7" t="inlineStr">
        <is>
          <t>⚠️ 重要说明</t>
        </is>
      </c>
    </row>
    <row r="21">
      <c r="A21" s="10" t="inlineStr">
        <is>
          <t>1. Wyckoff 阶段判断结合: 52W 位置 + MA200/MA60 趋势 + 振幅收敛 + OBV + Spring/UTAD 检测</t>
        </is>
      </c>
    </row>
    <row r="22">
      <c r="A22" s="10" t="inlineStr">
        <is>
          <t>2. 平均筹码价格 用 60 日 VWAP 代理 — 严格的'持仓成本'需要 Tick 数据,本表近似</t>
        </is>
      </c>
    </row>
    <row r="23">
      <c r="A23" s="10" t="inlineStr">
        <is>
          <t>3. 主力资金/庄家 用 OBV+CMF+涨跌量比 推断 — 准确判断需要 L2 主力净流入数据</t>
        </is>
      </c>
    </row>
    <row r="24">
      <c r="A24" s="10" t="inlineStr">
        <is>
          <t>4. 本报告为按规则的资金分配,不构成任何投资建议</t>
        </is>
      </c>
    </row>
    <row r="25">
      <c r="A25" s="10" t="inlineStr">
        <is>
          <t>5. 风险提示: 跌破止损位强制止损,Spring 失败立即清仓</t>
        </is>
      </c>
    </row>
  </sheetData>
  <mergeCells count="19">
    <mergeCell ref="B9:E9"/>
    <mergeCell ref="A24:E24"/>
    <mergeCell ref="B15:E15"/>
    <mergeCell ref="A1:E1"/>
    <mergeCell ref="A25:E25"/>
    <mergeCell ref="B16:E16"/>
    <mergeCell ref="A21:E21"/>
    <mergeCell ref="B18:E18"/>
    <mergeCell ref="A2:E2"/>
    <mergeCell ref="B12:E12"/>
    <mergeCell ref="B11:E11"/>
    <mergeCell ref="A23:E23"/>
    <mergeCell ref="A8:E8"/>
    <mergeCell ref="A22:E22"/>
    <mergeCell ref="B14:E14"/>
    <mergeCell ref="B17:E17"/>
    <mergeCell ref="A20:E20"/>
    <mergeCell ref="B13:E13"/>
    <mergeCell ref="B10:E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24" customWidth="1" min="2" max="2"/>
    <col width="9" customWidth="1" min="3" max="3"/>
    <col width="9" customWidth="1" min="4" max="4"/>
    <col width="11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1" customWidth="1" min="12" max="12"/>
    <col width="22" customWidth="1" min="13" max="13"/>
    <col width="13" customWidth="1" min="14" max="14"/>
    <col width="11" customWidth="1" min="15" max="15"/>
    <col width="30" customWidth="1" min="16" max="16"/>
    <col width="11" customWidth="1" min="17" max="17"/>
  </cols>
  <sheetData>
    <row r="1">
      <c r="A1" s="7" t="inlineStr">
        <is>
          <t>💰 美股 AI 能源 (8 只) - 资金分配 + Wyckoff 形态</t>
        </is>
      </c>
    </row>
    <row r="2">
      <c r="A2" s="2" t="inlineStr">
        <is>
          <t>总资金 $100,000 | 首批仓位按 Wyckoff 阶段调整</t>
        </is>
      </c>
    </row>
    <row r="4">
      <c r="A4" s="11" t="inlineStr">
        <is>
          <t>代码</t>
        </is>
      </c>
      <c r="B4" s="11" t="inlineStr">
        <is>
          <t>名称</t>
        </is>
      </c>
      <c r="C4" s="11" t="inlineStr">
        <is>
          <t>综合分</t>
        </is>
      </c>
      <c r="D4" s="11" t="inlineStr">
        <is>
          <t>分配 %</t>
        </is>
      </c>
      <c r="E4" s="11" t="inlineStr">
        <is>
          <t>理论金额</t>
        </is>
      </c>
      <c r="F4" s="11" t="inlineStr">
        <is>
          <t>股价</t>
        </is>
      </c>
      <c r="G4" s="11" t="inlineStr">
        <is>
          <t>市值</t>
        </is>
      </c>
      <c r="H4" s="11" t="inlineStr">
        <is>
          <t>PE</t>
        </is>
      </c>
      <c r="I4" s="11" t="inlineStr">
        <is>
          <t>营收增长</t>
        </is>
      </c>
      <c r="J4" s="11" t="inlineStr">
        <is>
          <t>利润率</t>
        </is>
      </c>
      <c r="K4" s="11" t="inlineStr">
        <is>
          <t>ROE</t>
        </is>
      </c>
      <c r="L4" s="11" t="inlineStr">
        <is>
          <t>位置 %</t>
        </is>
      </c>
      <c r="M4" s="11" t="inlineStr">
        <is>
          <t>Wyckoff 阶段</t>
        </is>
      </c>
      <c r="N4" s="11" t="inlineStr">
        <is>
          <t>首批 %</t>
        </is>
      </c>
      <c r="O4" s="11" t="inlineStr">
        <is>
          <t>首批金额</t>
        </is>
      </c>
      <c r="P4" s="11" t="inlineStr">
        <is>
          <t>第二批触发</t>
        </is>
      </c>
      <c r="Q4" s="11" t="inlineStr">
        <is>
          <t>止损</t>
        </is>
      </c>
    </row>
    <row r="5">
      <c r="A5" s="12" t="inlineStr">
        <is>
          <t>EXE</t>
        </is>
      </c>
      <c r="B5" s="13" t="inlineStr">
        <is>
          <t>Expand Energy Corporat</t>
        </is>
      </c>
      <c r="C5" s="12" t="n">
        <v>80</v>
      </c>
      <c r="D5" s="14" t="n">
        <v>0.2395209580838323</v>
      </c>
      <c r="E5" s="15" t="n">
        <v>23952.09580838323</v>
      </c>
      <c r="F5" s="12" t="n">
        <v>95.31999999999999</v>
      </c>
      <c r="G5" s="16" t="n">
        <v>22803294208</v>
      </c>
      <c r="H5" s="17" t="n">
        <v>7.0922623</v>
      </c>
      <c r="I5" s="14" t="n">
        <v>0.41</v>
      </c>
      <c r="J5" s="14" t="n">
        <v>0.24906999</v>
      </c>
      <c r="K5" s="14" t="n">
        <v>0.17568001</v>
      </c>
      <c r="L5" s="18" t="n">
        <v>14.6</v>
      </c>
      <c r="M5" s="13" t="inlineStr">
        <is>
          <t>C (Spring)</t>
        </is>
      </c>
      <c r="N5" s="19" t="n">
        <v>0.6</v>
      </c>
      <c r="O5" s="15" t="n">
        <v>14371.25748502994</v>
      </c>
      <c r="P5" s="13" t="inlineStr">
        <is>
          <t>突破 100.09(+5%) 加仓</t>
        </is>
      </c>
      <c r="Q5" s="20" t="n">
        <v>94.37</v>
      </c>
    </row>
    <row r="6">
      <c r="A6" s="12" t="inlineStr">
        <is>
          <t>VST</t>
        </is>
      </c>
      <c r="B6" s="13" t="inlineStr">
        <is>
          <t>Vistra Corp.</t>
        </is>
      </c>
      <c r="C6" s="12" t="n">
        <v>60</v>
      </c>
      <c r="D6" s="14" t="n">
        <v>0.1796407185628743</v>
      </c>
      <c r="E6" s="15" t="n">
        <v>17964.07185628742</v>
      </c>
      <c r="F6" s="12" t="n">
        <v>142.69</v>
      </c>
      <c r="G6" s="16" t="n">
        <v>48112566272</v>
      </c>
      <c r="H6" s="17" t="n">
        <v>23.861204</v>
      </c>
      <c r="I6" s="14" t="n">
        <v>0.434</v>
      </c>
      <c r="J6" s="14" t="n">
        <v>0.11525</v>
      </c>
      <c r="K6" s="14" t="n">
        <v>0.42898</v>
      </c>
      <c r="L6" s="18" t="n">
        <v>5.4</v>
      </c>
      <c r="M6" s="13" t="inlineStr">
        <is>
          <t>A (止跌)</t>
        </is>
      </c>
      <c r="N6" s="19" t="n">
        <v>0.15</v>
      </c>
      <c r="O6" s="15" t="n">
        <v>2694.610778443114</v>
      </c>
      <c r="P6" s="13" t="inlineStr">
        <is>
          <t>等待突破 173.54(确认 SOS)再建主仓</t>
        </is>
      </c>
      <c r="Q6" s="20" t="n">
        <v>131.27</v>
      </c>
    </row>
    <row r="7">
      <c r="A7" s="12" t="inlineStr">
        <is>
          <t>PEG</t>
        </is>
      </c>
      <c r="B7" s="13" t="inlineStr">
        <is>
          <t>Public Service Enterpr</t>
        </is>
      </c>
      <c r="C7" s="12" t="n">
        <v>53</v>
      </c>
      <c r="D7" s="14" t="n">
        <v>0.1586826347305389</v>
      </c>
      <c r="E7" s="15" t="n">
        <v>15868.26347305389</v>
      </c>
      <c r="F7" s="12" t="n">
        <v>77.12</v>
      </c>
      <c r="G7" s="16" t="n">
        <v>38430547968</v>
      </c>
      <c r="H7" s="17" t="n">
        <v>17.061947</v>
      </c>
      <c r="I7" s="14" t="n">
        <v>0.194</v>
      </c>
      <c r="J7" s="14" t="n">
        <v>0.17688</v>
      </c>
      <c r="K7" s="14" t="n">
        <v>0.13441</v>
      </c>
      <c r="L7" s="18" t="n">
        <v>22.6</v>
      </c>
      <c r="M7" s="13" t="inlineStr">
        <is>
          <t>B (吸筹震荡)</t>
        </is>
      </c>
      <c r="N7" s="19" t="n">
        <v>0.3</v>
      </c>
      <c r="O7" s="15" t="n">
        <v>4760.479041916167</v>
      </c>
      <c r="P7" s="13" t="inlineStr">
        <is>
          <t>突破 83.82 加 / 回踩 76.60 不破再加</t>
        </is>
      </c>
      <c r="Q7" s="20" t="n">
        <v>71.23999999999999</v>
      </c>
    </row>
    <row r="8">
      <c r="A8" s="12" t="inlineStr">
        <is>
          <t>CEG</t>
        </is>
      </c>
      <c r="B8" s="13" t="inlineStr">
        <is>
          <t>Constellation Energy C</t>
        </is>
      </c>
      <c r="C8" s="12" t="n">
        <v>51</v>
      </c>
      <c r="D8" s="14" t="n">
        <v>0.1526946107784431</v>
      </c>
      <c r="E8" s="15" t="n">
        <v>15269.46107784431</v>
      </c>
      <c r="F8" s="12" t="n">
        <v>277.11</v>
      </c>
      <c r="G8" s="16" t="n">
        <v>100085768192</v>
      </c>
      <c r="H8" s="17" t="n">
        <v>24.074718</v>
      </c>
      <c r="I8" s="14" t="n">
        <v>0.638</v>
      </c>
      <c r="J8" s="14" t="n">
        <v>0.12693</v>
      </c>
      <c r="K8" s="14" t="n">
        <v>0.16104999</v>
      </c>
      <c r="L8" s="18" t="n">
        <v>20.2</v>
      </c>
      <c r="M8" s="13" t="inlineStr">
        <is>
          <t>A-&gt;B (筑底)</t>
        </is>
      </c>
      <c r="N8" s="19" t="n">
        <v>0.15</v>
      </c>
      <c r="O8" s="15" t="n">
        <v>2290.419161676647</v>
      </c>
      <c r="P8" s="13" t="inlineStr">
        <is>
          <t>等待突破 338.66(确认 SOS)再建主仓</t>
        </is>
      </c>
      <c r="Q8" s="20" t="n">
        <v>254.93</v>
      </c>
    </row>
    <row r="9">
      <c r="A9" s="12" t="inlineStr">
        <is>
          <t>NRG</t>
        </is>
      </c>
      <c r="B9" s="13" t="inlineStr">
        <is>
          <t>NRG Energy, Inc.</t>
        </is>
      </c>
      <c r="C9" s="12" t="n">
        <v>27</v>
      </c>
      <c r="D9" s="14" t="n">
        <v>0.08083832335329341</v>
      </c>
      <c r="E9" s="15" t="n">
        <v>8083.832335329341</v>
      </c>
      <c r="F9" s="12" t="n">
        <v>131.46</v>
      </c>
      <c r="G9" s="16" t="n">
        <v>27737333760</v>
      </c>
      <c r="H9" s="17" t="n">
        <v>144.46703</v>
      </c>
      <c r="I9" s="14" t="n">
        <v>0.195</v>
      </c>
      <c r="J9" s="14" t="n">
        <v>0.00738</v>
      </c>
      <c r="K9" s="14" t="n">
        <v>0.062480003</v>
      </c>
      <c r="L9" s="18" t="n">
        <v>3.7</v>
      </c>
      <c r="M9" s="13" t="inlineStr">
        <is>
          <t>A/B (筑底中)</t>
        </is>
      </c>
      <c r="N9" s="19" t="n">
        <v>0.15</v>
      </c>
      <c r="O9" s="15" t="n">
        <v>1212.574850299401</v>
      </c>
      <c r="P9" s="13" t="inlineStr">
        <is>
          <t>等待突破 180.23(确认 SOS)再建主仓</t>
        </is>
      </c>
      <c r="Q9" s="20" t="n">
        <v>120.95</v>
      </c>
    </row>
    <row r="10">
      <c r="A10" s="12" t="inlineStr">
        <is>
          <t>STEM</t>
        </is>
      </c>
      <c r="B10" s="13" t="inlineStr">
        <is>
          <t>Stem, Inc.</t>
        </is>
      </c>
      <c r="C10" s="12" t="n">
        <v>25</v>
      </c>
      <c r="D10" s="14" t="n">
        <v>0.0748502994011976</v>
      </c>
      <c r="E10" s="15" t="n">
        <v>7485.02994011976</v>
      </c>
      <c r="F10" s="12" t="n">
        <v>8.949999999999999</v>
      </c>
      <c r="G10" s="16" t="n">
        <v>80127112</v>
      </c>
      <c r="H10" s="17" t="n"/>
      <c r="I10" s="14" t="n">
        <v>-0.108</v>
      </c>
      <c r="J10" s="14" t="n">
        <v>0.94162005</v>
      </c>
      <c r="K10" s="14" t="n"/>
      <c r="L10" s="18" t="n">
        <v>11.5</v>
      </c>
      <c r="M10" s="13" t="inlineStr">
        <is>
          <t>A/B (筑底中)</t>
        </is>
      </c>
      <c r="N10" s="19" t="n">
        <v>0.15</v>
      </c>
      <c r="O10" s="15" t="n">
        <v>1122.754491017964</v>
      </c>
      <c r="P10" s="13" t="inlineStr">
        <is>
          <t>等待突破 12.64(确认 SOS)再建主仓</t>
        </is>
      </c>
      <c r="Q10" s="20" t="n">
        <v>8.23</v>
      </c>
    </row>
    <row r="11">
      <c r="A11" s="12" t="inlineStr">
        <is>
          <t>SMR</t>
        </is>
      </c>
      <c r="B11" s="13" t="inlineStr">
        <is>
          <t>NuScale Power Corporat</t>
        </is>
      </c>
      <c r="C11" s="12" t="n">
        <v>20</v>
      </c>
      <c r="D11" s="14" t="n">
        <v>0.05988023952095808</v>
      </c>
      <c r="E11" s="15" t="n">
        <v>5988.023952095808</v>
      </c>
      <c r="F11" s="12" t="n">
        <v>12.25</v>
      </c>
      <c r="G11" s="16" t="n">
        <v>4239795968</v>
      </c>
      <c r="H11" s="17" t="n"/>
      <c r="I11" s="14" t="n">
        <v>-0.958</v>
      </c>
      <c r="J11" s="14" t="n">
        <v>0</v>
      </c>
      <c r="K11" s="14" t="n">
        <v>-0.8305</v>
      </c>
      <c r="L11" s="18" t="n">
        <v>7</v>
      </c>
      <c r="M11" s="13" t="inlineStr">
        <is>
          <t>C (Spring)</t>
        </is>
      </c>
      <c r="N11" s="19" t="n">
        <v>0.6</v>
      </c>
      <c r="O11" s="15" t="n">
        <v>3592.814371257485</v>
      </c>
      <c r="P11" s="13" t="inlineStr">
        <is>
          <t>突破 12.86(+5%) 加仓</t>
        </is>
      </c>
      <c r="Q11" s="20" t="n">
        <v>9.369999999999999</v>
      </c>
    </row>
    <row r="12">
      <c r="A12" s="12" t="inlineStr">
        <is>
          <t>OKLO</t>
        </is>
      </c>
      <c r="B12" s="13" t="inlineStr">
        <is>
          <t>Oklo Inc.</t>
        </is>
      </c>
      <c r="C12" s="12" t="n">
        <v>18</v>
      </c>
      <c r="D12" s="14" t="n">
        <v>0.05389221556886228</v>
      </c>
      <c r="E12" s="15" t="n">
        <v>5389.221556886228</v>
      </c>
      <c r="F12" s="12" t="n">
        <v>70.76000000000001</v>
      </c>
      <c r="G12" s="16" t="n">
        <v>12306568192</v>
      </c>
      <c r="H12" s="17" t="n"/>
      <c r="I12" s="14" t="n"/>
      <c r="J12" s="14" t="n">
        <v>0</v>
      </c>
      <c r="K12" s="14" t="n">
        <v>-0.12236</v>
      </c>
      <c r="L12" s="18" t="n">
        <v>25.3</v>
      </c>
      <c r="M12" s="13" t="inlineStr">
        <is>
          <t>B (吸筹震荡)</t>
        </is>
      </c>
      <c r="N12" s="19" t="n">
        <v>0.3</v>
      </c>
      <c r="O12" s="15" t="n">
        <v>1616.766467065868</v>
      </c>
      <c r="P12" s="13" t="inlineStr">
        <is>
          <t>突破 83.13 加 / 回踩 60.81 不破再加</t>
        </is>
      </c>
      <c r="Q12" s="20" t="n">
        <v>56.55</v>
      </c>
    </row>
    <row r="14">
      <c r="A14" s="21" t="inlineStr">
        <is>
          <t>💰 总计</t>
        </is>
      </c>
      <c r="B14" s="21" t="n"/>
      <c r="C14" s="21" t="n"/>
      <c r="D14" s="22">
        <f>SUM(D5:D12)</f>
        <v/>
      </c>
      <c r="E14" s="23">
        <f>SUM(E5:E12)</f>
        <v/>
      </c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3">
        <f>SUM(O5:O12)</f>
        <v/>
      </c>
      <c r="P14" s="21" t="n"/>
      <c r="Q14" s="21" t="n"/>
    </row>
    <row r="16">
      <c r="A16" s="24" t="inlineStr">
        <is>
          <t>说明:</t>
        </is>
      </c>
      <c r="B16" s="10" t="inlineStr">
        <is>
          <t>理论金额=综合分加权;首批金额=理论金额×Wyckoff首批比例;余下资金等第二批触发条件</t>
        </is>
      </c>
    </row>
  </sheetData>
  <mergeCells count="3">
    <mergeCell ref="B16:Q16"/>
    <mergeCell ref="A2:Q2"/>
    <mergeCell ref="A1:Q1"/>
  </mergeCells>
  <conditionalFormatting sqref="C5:C12">
    <cfRule type="colorScale" priority="1">
      <colorScale>
        <cfvo type="num" val="0"/>
        <cfvo type="num" val="40"/>
        <cfvo type="num" val="80"/>
        <color rgb="00F8696B"/>
        <color rgb="00FFEB84"/>
        <color rgb="0063BE7B"/>
      </colorScale>
    </cfRule>
  </conditionalFormatting>
  <conditionalFormatting sqref="D5:D12">
    <cfRule type="dataBar" priority="2">
      <dataBar>
        <cfvo type="min"/>
        <cfvo type="max"/>
        <color rgb="005B9BD5"/>
      </dataBar>
    </cfRule>
  </conditionalFormatting>
  <conditionalFormatting sqref="E5:E12">
    <cfRule type="dataBar" priority="3">
      <dataBar>
        <cfvo type="min"/>
        <cfvo type="max"/>
        <color rgb="0070AD47"/>
      </dataBar>
    </cfRule>
  </conditionalFormatting>
  <conditionalFormatting sqref="I5:I12">
    <cfRule type="colorScale" priority="4">
      <colorScale>
        <cfvo type="num" val="-0.3"/>
        <cfvo type="num" val="0"/>
        <cfvo type="num" val="0.5"/>
        <color rgb="00F8696B"/>
        <color rgb="00FFFFFF"/>
        <color rgb="0063BE7B"/>
      </colorScale>
    </cfRule>
  </conditionalFormatting>
  <conditionalFormatting sqref="J5:J12">
    <cfRule type="colorScale" priority="5">
      <colorScale>
        <cfvo type="num" val="-0.1"/>
        <cfvo type="num" val="0"/>
        <cfvo type="num" val="0.3"/>
        <color rgb="00F8696B"/>
        <color rgb="00FFFFFF"/>
        <color rgb="0063BE7B"/>
      </colorScale>
    </cfRule>
  </conditionalFormatting>
  <conditionalFormatting sqref="K5:K12">
    <cfRule type="colorScale" priority="6">
      <colorScale>
        <cfvo type="num" val="-0.1"/>
        <cfvo type="num" val="0"/>
        <cfvo type="num" val="0.3"/>
        <color rgb="00F8696B"/>
        <color rgb="00FFFFFF"/>
        <color rgb="0063BE7B"/>
      </colorScale>
    </cfRule>
  </conditionalFormatting>
  <conditionalFormatting sqref="L5:L12">
    <cfRule type="colorScale" priority="7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N5:N12">
    <cfRule type="dataBar" priority="8">
      <dataBar>
        <cfvo type="num" val="0"/>
        <cfvo type="num" val="1"/>
        <color rgb="0000B050"/>
      </dataBar>
    </cfRule>
  </conditionalFormatting>
  <conditionalFormatting sqref="O5:O12">
    <cfRule type="dataBar" priority="9">
      <dataBar>
        <cfvo type="min"/>
        <cfvo type="max"/>
        <color rgb="0000B050"/>
      </dataBar>
    </cfRule>
  </conditionalFormatting>
  <conditionalFormatting sqref="A5:Q12">
    <cfRule type="expression" priority="10" dxfId="0">
      <formula>ISNUMBER(SEARCH("Spring",$M5))</formula>
    </cfRule>
    <cfRule type="expression" priority="11" dxfId="1">
      <formula>ISNUMBER(SEARCH("SOS",$M5))</formula>
    </cfRule>
    <cfRule type="expression" priority="12" dxfId="1">
      <formula>ISNUMBER(SEARCH("E (",$M5))</formula>
    </cfRule>
    <cfRule type="expression" priority="13" dxfId="2">
      <formula>ISNUMBER(SEARCH("吸筹",$M5))</formula>
    </cfRule>
    <cfRule type="expression" priority="14" dxfId="3">
      <formula>OR(ISNUMBER(SEARCH("UTAD",$M5)),ISNUMBER(SEARCH("派发",$M5)),ISNUMBER(SEARCH("SOW",$M5)),ISNUMBER(SEARCH("顶部",$M5)))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24" customWidth="1" min="2" max="2"/>
    <col width="9" customWidth="1" min="3" max="3"/>
    <col width="9" customWidth="1" min="4" max="4"/>
    <col width="11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1" customWidth="1" min="12" max="12"/>
    <col width="22" customWidth="1" min="13" max="13"/>
    <col width="13" customWidth="1" min="14" max="14"/>
    <col width="11" customWidth="1" min="15" max="15"/>
    <col width="30" customWidth="1" min="16" max="16"/>
    <col width="11" customWidth="1" min="17" max="17"/>
  </cols>
  <sheetData>
    <row r="1">
      <c r="A1" s="7" t="inlineStr">
        <is>
          <t>💰 A 股 存储 AI (4 只) - 资金分配 + Wyckoff 形态</t>
        </is>
      </c>
    </row>
    <row r="2">
      <c r="A2" s="2" t="inlineStr">
        <is>
          <t>总资金 ¥100,000 | 首批仓位按 Wyckoff 阶段调整</t>
        </is>
      </c>
    </row>
    <row r="4">
      <c r="A4" s="11" t="inlineStr">
        <is>
          <t>代码</t>
        </is>
      </c>
      <c r="B4" s="11" t="inlineStr">
        <is>
          <t>名称</t>
        </is>
      </c>
      <c r="C4" s="11" t="inlineStr">
        <is>
          <t>综合分</t>
        </is>
      </c>
      <c r="D4" s="11" t="inlineStr">
        <is>
          <t>分配 %</t>
        </is>
      </c>
      <c r="E4" s="11" t="inlineStr">
        <is>
          <t>理论金额</t>
        </is>
      </c>
      <c r="F4" s="11" t="inlineStr">
        <is>
          <t>股价</t>
        </is>
      </c>
      <c r="G4" s="11" t="inlineStr">
        <is>
          <t>市值</t>
        </is>
      </c>
      <c r="H4" s="11" t="inlineStr">
        <is>
          <t>PE</t>
        </is>
      </c>
      <c r="I4" s="11" t="inlineStr">
        <is>
          <t>营收增长</t>
        </is>
      </c>
      <c r="J4" s="11" t="inlineStr">
        <is>
          <t>利润率</t>
        </is>
      </c>
      <c r="K4" s="11" t="inlineStr">
        <is>
          <t>ROE</t>
        </is>
      </c>
      <c r="L4" s="11" t="inlineStr">
        <is>
          <t>位置 %</t>
        </is>
      </c>
      <c r="M4" s="11" t="inlineStr">
        <is>
          <t>Wyckoff 阶段</t>
        </is>
      </c>
      <c r="N4" s="11" t="inlineStr">
        <is>
          <t>首批 %</t>
        </is>
      </c>
      <c r="O4" s="11" t="inlineStr">
        <is>
          <t>首批金额</t>
        </is>
      </c>
      <c r="P4" s="11" t="inlineStr">
        <is>
          <t>第二批触发</t>
        </is>
      </c>
      <c r="Q4" s="11" t="inlineStr">
        <is>
          <t>止损</t>
        </is>
      </c>
    </row>
    <row r="5">
      <c r="A5" s="12" t="inlineStr">
        <is>
          <t>603893.SS</t>
        </is>
      </c>
      <c r="B5" s="13" t="inlineStr">
        <is>
          <t>Rockchip Electronics C</t>
        </is>
      </c>
      <c r="C5" s="12" t="n">
        <v>48</v>
      </c>
      <c r="D5" s="14" t="n">
        <v>0.4</v>
      </c>
      <c r="E5" s="25" t="n">
        <v>40000</v>
      </c>
      <c r="F5" s="12" t="n">
        <v>179.43</v>
      </c>
      <c r="G5" s="16" t="n">
        <v>76014780416</v>
      </c>
      <c r="H5" s="17" t="n">
        <v>65.65818</v>
      </c>
      <c r="I5" s="14" t="n">
        <v>0.362</v>
      </c>
      <c r="J5" s="14" t="n">
        <v>0.24555999</v>
      </c>
      <c r="K5" s="14" t="n">
        <v>0.27346</v>
      </c>
      <c r="L5" s="18" t="n">
        <v>36.4</v>
      </c>
      <c r="M5" s="13" t="inlineStr">
        <is>
          <t>中位震荡</t>
        </is>
      </c>
      <c r="N5" s="19" t="n">
        <v>0.2</v>
      </c>
      <c r="O5" s="25" t="n">
        <v>8000</v>
      </c>
      <c r="P5" s="13" t="inlineStr">
        <is>
          <t>无明确方向</t>
        </is>
      </c>
      <c r="Q5" s="20" t="n">
        <v>165.08</v>
      </c>
    </row>
    <row r="6">
      <c r="A6" s="12" t="inlineStr">
        <is>
          <t>002230.SZ</t>
        </is>
      </c>
      <c r="B6" s="13" t="inlineStr">
        <is>
          <t>iFLYTEK CO.,LTD</t>
        </is>
      </c>
      <c r="C6" s="12" t="n">
        <v>30</v>
      </c>
      <c r="D6" s="14" t="n">
        <v>0.2769230769230769</v>
      </c>
      <c r="E6" s="25" t="n">
        <v>27692.3076923077</v>
      </c>
      <c r="F6" s="12" t="n">
        <v>48.83</v>
      </c>
      <c r="G6" s="16" t="n">
        <v>118662742016</v>
      </c>
      <c r="H6" s="17" t="n">
        <v>133.51352</v>
      </c>
      <c r="I6" s="14" t="n">
        <v>0.132</v>
      </c>
      <c r="J6" s="14" t="n">
        <v>0.03113</v>
      </c>
      <c r="K6" s="14" t="n">
        <v>0.04538</v>
      </c>
      <c r="L6" s="18" t="n">
        <v>17.3</v>
      </c>
      <c r="M6" s="13" t="inlineStr">
        <is>
          <t>C-&gt;D (Spring 已确认)</t>
        </is>
      </c>
      <c r="N6" s="19" t="n">
        <v>0.7</v>
      </c>
      <c r="O6" s="25" t="n">
        <v>19384.61538461539</v>
      </c>
      <c r="P6" s="13" t="inlineStr">
        <is>
          <t>突破 50.29(+3%) 加仓</t>
        </is>
      </c>
      <c r="Q6" s="20" t="n">
        <v>49.17</v>
      </c>
    </row>
    <row r="7">
      <c r="A7" s="12" t="inlineStr">
        <is>
          <t>603160.SS</t>
        </is>
      </c>
      <c r="B7" s="13" t="inlineStr">
        <is>
          <t>Shenzhen Goodix Techno</t>
        </is>
      </c>
      <c r="C7" s="12" t="n">
        <v>25</v>
      </c>
      <c r="D7" s="14" t="n">
        <v>0.2341880341880342</v>
      </c>
      <c r="E7" s="25" t="n">
        <v>23418.80341880342</v>
      </c>
      <c r="F7" s="12" t="n">
        <v>66.37</v>
      </c>
      <c r="G7" s="16" t="n">
        <v>31601100800</v>
      </c>
      <c r="H7" s="17" t="n">
        <v>41.359756</v>
      </c>
      <c r="I7" s="14" t="n">
        <v>-0.09</v>
      </c>
      <c r="J7" s="14" t="n">
        <v>0.16354999</v>
      </c>
      <c r="K7" s="14" t="n">
        <v>0.082720004</v>
      </c>
      <c r="L7" s="18" t="n">
        <v>13.4</v>
      </c>
      <c r="M7" s="13" t="inlineStr">
        <is>
          <t>C (Spring)</t>
        </is>
      </c>
      <c r="N7" s="19" t="n">
        <v>0.6</v>
      </c>
      <c r="O7" s="25" t="n">
        <v>14051.28205128205</v>
      </c>
      <c r="P7" s="13" t="inlineStr">
        <is>
          <t>突破 69.69(+5%) 加仓</t>
        </is>
      </c>
      <c r="Q7" s="20" t="n">
        <v>62.45</v>
      </c>
    </row>
    <row r="8">
      <c r="A8" s="12" t="inlineStr">
        <is>
          <t>603690.SS</t>
        </is>
      </c>
      <c r="B8" s="13" t="inlineStr">
        <is>
          <t>PNC Process Systems Co</t>
        </is>
      </c>
      <c r="C8" s="12" t="n">
        <v>8</v>
      </c>
      <c r="D8" s="14" t="n">
        <v>0.08888888888888889</v>
      </c>
      <c r="E8" s="25" t="n">
        <v>8888.888888888889</v>
      </c>
      <c r="F8" s="12" t="n">
        <v>26.87</v>
      </c>
      <c r="G8" s="16" t="n">
        <v>10539176960</v>
      </c>
      <c r="H8" s="17" t="n"/>
      <c r="I8" s="14" t="n">
        <v>-0.317</v>
      </c>
      <c r="J8" s="14" t="n">
        <v>-0.02538</v>
      </c>
      <c r="K8" s="14" t="n">
        <v>-0.03528</v>
      </c>
      <c r="L8" s="18" t="n">
        <v>20.3</v>
      </c>
      <c r="M8" s="13" t="inlineStr">
        <is>
          <t>C-&gt;D (Spring 已确认)</t>
        </is>
      </c>
      <c r="N8" s="19" t="n">
        <v>0.7</v>
      </c>
      <c r="O8" s="25" t="n">
        <v>6222.222222222222</v>
      </c>
      <c r="P8" s="13" t="inlineStr">
        <is>
          <t>突破 27.68(+3%) 加仓</t>
        </is>
      </c>
      <c r="Q8" s="20" t="n">
        <v>25.4</v>
      </c>
    </row>
    <row r="10">
      <c r="A10" s="21" t="inlineStr">
        <is>
          <t>💰 总计</t>
        </is>
      </c>
      <c r="B10" s="21" t="n"/>
      <c r="C10" s="21" t="n"/>
      <c r="D10" s="22">
        <f>SUM(D5:D8)</f>
        <v/>
      </c>
      <c r="E10" s="26">
        <f>SUM(E5:E8)</f>
        <v/>
      </c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6">
        <f>SUM(O5:O8)</f>
        <v/>
      </c>
      <c r="P10" s="21" t="n"/>
      <c r="Q10" s="21" t="n"/>
    </row>
    <row r="12">
      <c r="A12" s="24" t="inlineStr">
        <is>
          <t>说明:</t>
        </is>
      </c>
      <c r="B12" s="10" t="inlineStr">
        <is>
          <t>理论金额=综合分加权;首批金额=理论金额×Wyckoff首批比例;余下资金等第二批触发条件</t>
        </is>
      </c>
    </row>
  </sheetData>
  <mergeCells count="3">
    <mergeCell ref="A2:Q2"/>
    <mergeCell ref="B12:Q12"/>
    <mergeCell ref="A1:Q1"/>
  </mergeCells>
  <conditionalFormatting sqref="C5:C8">
    <cfRule type="colorScale" priority="1">
      <colorScale>
        <cfvo type="num" val="0"/>
        <cfvo type="num" val="40"/>
        <cfvo type="num" val="80"/>
        <color rgb="00F8696B"/>
        <color rgb="00FFEB84"/>
        <color rgb="0063BE7B"/>
      </colorScale>
    </cfRule>
  </conditionalFormatting>
  <conditionalFormatting sqref="D5:D8">
    <cfRule type="dataBar" priority="2">
      <dataBar>
        <cfvo type="min"/>
        <cfvo type="max"/>
        <color rgb="005B9BD5"/>
      </dataBar>
    </cfRule>
  </conditionalFormatting>
  <conditionalFormatting sqref="E5:E8">
    <cfRule type="dataBar" priority="3">
      <dataBar>
        <cfvo type="min"/>
        <cfvo type="max"/>
        <color rgb="0070AD47"/>
      </dataBar>
    </cfRule>
  </conditionalFormatting>
  <conditionalFormatting sqref="I5:I8">
    <cfRule type="colorScale" priority="4">
      <colorScale>
        <cfvo type="num" val="-0.3"/>
        <cfvo type="num" val="0"/>
        <cfvo type="num" val="0.5"/>
        <color rgb="00F8696B"/>
        <color rgb="00FFFFFF"/>
        <color rgb="0063BE7B"/>
      </colorScale>
    </cfRule>
  </conditionalFormatting>
  <conditionalFormatting sqref="J5:J8">
    <cfRule type="colorScale" priority="5">
      <colorScale>
        <cfvo type="num" val="-0.1"/>
        <cfvo type="num" val="0"/>
        <cfvo type="num" val="0.3"/>
        <color rgb="00F8696B"/>
        <color rgb="00FFFFFF"/>
        <color rgb="0063BE7B"/>
      </colorScale>
    </cfRule>
  </conditionalFormatting>
  <conditionalFormatting sqref="K5:K8">
    <cfRule type="colorScale" priority="6">
      <colorScale>
        <cfvo type="num" val="-0.1"/>
        <cfvo type="num" val="0"/>
        <cfvo type="num" val="0.3"/>
        <color rgb="00F8696B"/>
        <color rgb="00FFFFFF"/>
        <color rgb="0063BE7B"/>
      </colorScale>
    </cfRule>
  </conditionalFormatting>
  <conditionalFormatting sqref="L5:L8">
    <cfRule type="colorScale" priority="7">
      <colorScale>
        <cfvo type="num" val="0"/>
        <cfvo type="num" val="50"/>
        <cfvo type="num" val="100"/>
        <color rgb="0063BE7B"/>
        <color rgb="00FFEB84"/>
        <color rgb="00F8696B"/>
      </colorScale>
    </cfRule>
  </conditionalFormatting>
  <conditionalFormatting sqref="N5:N8">
    <cfRule type="dataBar" priority="8">
      <dataBar>
        <cfvo type="num" val="0"/>
        <cfvo type="num" val="1"/>
        <color rgb="0000B050"/>
      </dataBar>
    </cfRule>
  </conditionalFormatting>
  <conditionalFormatting sqref="O5:O8">
    <cfRule type="dataBar" priority="9">
      <dataBar>
        <cfvo type="min"/>
        <cfvo type="max"/>
        <color rgb="0000B050"/>
      </dataBar>
    </cfRule>
  </conditionalFormatting>
  <conditionalFormatting sqref="A5:Q8">
    <cfRule type="expression" priority="10" dxfId="0">
      <formula>ISNUMBER(SEARCH("Spring",$M5))</formula>
    </cfRule>
    <cfRule type="expression" priority="11" dxfId="1">
      <formula>ISNUMBER(SEARCH("SOS",$M5))</formula>
    </cfRule>
    <cfRule type="expression" priority="12" dxfId="1">
      <formula>ISNUMBER(SEARCH("E (",$M5))</formula>
    </cfRule>
    <cfRule type="expression" priority="13" dxfId="2">
      <formula>ISNUMBER(SEARCH("吸筹",$M5))</formula>
    </cfRule>
    <cfRule type="expression" priority="14" dxfId="3">
      <formula>OR(ISNUMBER(SEARCH("UTAD",$M5)),ISNUMBER(SEARCH("派发",$M5)),ISNUMBER(SEARCH("SOW",$M5)),ISNUMBER(SEARCH("顶部",$M5)))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5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4" customWidth="1" min="2" max="2"/>
    <col width="13" customWidth="1" min="3" max="3"/>
    <col width="11" customWidth="1" min="4" max="4"/>
    <col width="22" customWidth="1" min="5" max="5"/>
    <col width="30" customWidth="1" min="6" max="6"/>
    <col width="9" customWidth="1" min="7" max="7"/>
    <col width="11" customWidth="1" min="8" max="8"/>
    <col width="13" customWidth="1" min="9" max="9"/>
    <col width="11" customWidth="1" min="10" max="10"/>
    <col width="9" customWidth="1" min="11" max="11"/>
    <col width="9" customWidth="1" min="12" max="12"/>
    <col width="9" customWidth="1" min="13" max="13"/>
    <col width="30" customWidth="1" min="14" max="14"/>
    <col width="11" customWidth="1" min="15" max="15"/>
  </cols>
  <sheetData>
    <row r="1">
      <c r="A1" s="7" t="inlineStr">
        <is>
          <t>🌊 Wyckoff 形态详细分析(12 只)</t>
        </is>
      </c>
    </row>
    <row r="3">
      <c r="A3" s="11" t="inlineStr">
        <is>
          <t>代码</t>
        </is>
      </c>
      <c r="B3" s="11" t="inlineStr">
        <is>
          <t>名称</t>
        </is>
      </c>
      <c r="C3" s="11" t="inlineStr">
        <is>
          <t>市场</t>
        </is>
      </c>
      <c r="D3" s="11" t="inlineStr">
        <is>
          <t>周期</t>
        </is>
      </c>
      <c r="E3" s="11" t="inlineStr">
        <is>
          <t>Wyckoff 阶段</t>
        </is>
      </c>
      <c r="F3" s="11" t="inlineStr">
        <is>
          <t>形态详情</t>
        </is>
      </c>
      <c r="G3" s="11" t="inlineStr">
        <is>
          <t>可信度</t>
        </is>
      </c>
      <c r="H3" s="11" t="inlineStr">
        <is>
          <t>位置 %</t>
        </is>
      </c>
      <c r="I3" s="11" t="inlineStr">
        <is>
          <t>MA60 斜率</t>
        </is>
      </c>
      <c r="J3" s="11" t="inlineStr">
        <is>
          <t>振幅比</t>
        </is>
      </c>
      <c r="K3" s="11" t="inlineStr">
        <is>
          <t>OBV变化</t>
        </is>
      </c>
      <c r="L3" s="11" t="inlineStr">
        <is>
          <t>涨跌量比</t>
        </is>
      </c>
      <c r="M3" s="11" t="inlineStr">
        <is>
          <t>Spring/UTAD</t>
        </is>
      </c>
      <c r="N3" s="11" t="inlineStr">
        <is>
          <t>操作建议</t>
        </is>
      </c>
      <c r="O3" s="11" t="inlineStr">
        <is>
          <t>首批 %</t>
        </is>
      </c>
    </row>
    <row r="4">
      <c r="A4" s="12" t="inlineStr">
        <is>
          <t>EXE</t>
        </is>
      </c>
      <c r="B4" s="13" t="inlineStr">
        <is>
          <t>Expand Energy Corporat</t>
        </is>
      </c>
      <c r="C4" s="12" t="inlineStr">
        <is>
          <t>🇺🇸 美股</t>
        </is>
      </c>
      <c r="D4" s="12" t="inlineStr">
        <is>
          <t>accumulation</t>
        </is>
      </c>
      <c r="E4" s="13" t="inlineStr">
        <is>
          <t>C (Spring)</t>
        </is>
      </c>
      <c r="F4" s="13" t="inlineStr">
        <is>
          <t>刚出现 Spring 假跌破 (97.29),最佳建仓点之一</t>
        </is>
      </c>
      <c r="G4" s="12" t="inlineStr">
        <is>
          <t>高</t>
        </is>
      </c>
      <c r="H4" s="18" t="n">
        <v>14.6</v>
      </c>
      <c r="I4" s="27" t="n">
        <v>-2.89</v>
      </c>
      <c r="J4" s="12" t="n">
        <v>0.46</v>
      </c>
      <c r="K4" s="12" t="n">
        <v>-1.613</v>
      </c>
      <c r="L4" s="12" t="n">
        <v>1.11</v>
      </c>
      <c r="M4" s="13" t="inlineStr">
        <is>
          <t>Spring @ 97.29</t>
        </is>
      </c>
      <c r="N4" s="13" t="inlineStr">
        <is>
          <t>✅ 强烈建仓</t>
        </is>
      </c>
      <c r="O4" s="19" t="n">
        <v>0.6</v>
      </c>
    </row>
    <row r="5">
      <c r="A5" s="12" t="inlineStr">
        <is>
          <t>VST</t>
        </is>
      </c>
      <c r="B5" s="13" t="inlineStr">
        <is>
          <t>Vistra Corp.</t>
        </is>
      </c>
      <c r="C5" s="12" t="inlineStr">
        <is>
          <t>🇺🇸 美股</t>
        </is>
      </c>
      <c r="D5" s="12" t="inlineStr">
        <is>
          <t>accumulation</t>
        </is>
      </c>
      <c r="E5" s="13" t="inlineStr">
        <is>
          <t>A (止跌)</t>
        </is>
      </c>
      <c r="F5" s="13" t="inlineStr">
        <is>
          <t>长跌后初步止跌,但还未确认企稳</t>
        </is>
      </c>
      <c r="G5" s="12" t="inlineStr">
        <is>
          <t>中</t>
        </is>
      </c>
      <c r="H5" s="18" t="n">
        <v>5.4</v>
      </c>
      <c r="I5" s="27" t="n">
        <v>-0.39</v>
      </c>
      <c r="J5" s="12" t="n">
        <v>0.76</v>
      </c>
      <c r="K5" s="12" t="n">
        <v>-0.04</v>
      </c>
      <c r="L5" s="12" t="n">
        <v>0.85</v>
      </c>
      <c r="M5" s="13" t="inlineStr">
        <is>
          <t>—</t>
        </is>
      </c>
      <c r="N5" s="13" t="inlineStr">
        <is>
          <t>⚠️ 暂不建仓</t>
        </is>
      </c>
      <c r="O5" s="19" t="n">
        <v>0.15</v>
      </c>
    </row>
    <row r="6">
      <c r="A6" s="12" t="inlineStr">
        <is>
          <t>PEG</t>
        </is>
      </c>
      <c r="B6" s="13" t="inlineStr">
        <is>
          <t>Public Service Enterpr</t>
        </is>
      </c>
      <c r="C6" s="12" t="inlineStr">
        <is>
          <t>🇺🇸 美股</t>
        </is>
      </c>
      <c r="D6" s="12" t="inlineStr">
        <is>
          <t>accumulation</t>
        </is>
      </c>
      <c r="E6" s="13" t="inlineStr">
        <is>
          <t>B (吸筹震荡)</t>
        </is>
      </c>
      <c r="F6" s="13" t="inlineStr">
        <is>
          <t>底部震荡,有吸筹特征</t>
        </is>
      </c>
      <c r="G6" s="12" t="inlineStr">
        <is>
          <t>中</t>
        </is>
      </c>
      <c r="H6" s="18" t="n">
        <v>22.6</v>
      </c>
      <c r="I6" s="27" t="n">
        <v>-0.58</v>
      </c>
      <c r="J6" s="12" t="n">
        <v>0.55</v>
      </c>
      <c r="K6" s="12" t="n">
        <v>-0.131</v>
      </c>
      <c r="L6" s="12" t="n">
        <v>1.08</v>
      </c>
      <c r="M6" s="13" t="inlineStr">
        <is>
          <t>—</t>
        </is>
      </c>
      <c r="N6" s="13" t="inlineStr">
        <is>
          <t>🟡 小仓位试探</t>
        </is>
      </c>
      <c r="O6" s="19" t="n">
        <v>0.3</v>
      </c>
    </row>
    <row r="7">
      <c r="A7" s="12" t="inlineStr">
        <is>
          <t>CEG</t>
        </is>
      </c>
      <c r="B7" s="13" t="inlineStr">
        <is>
          <t>Constellation Energy C</t>
        </is>
      </c>
      <c r="C7" s="12" t="inlineStr">
        <is>
          <t>🇺🇸 美股</t>
        </is>
      </c>
      <c r="D7" s="12" t="inlineStr">
        <is>
          <t>accumulation</t>
        </is>
      </c>
      <c r="E7" s="13" t="inlineStr">
        <is>
          <t>A-&gt;B (筑底)</t>
        </is>
      </c>
      <c r="F7" s="13" t="inlineStr">
        <is>
          <t>脱离极低位但未确认突破</t>
        </is>
      </c>
      <c r="G7" s="12" t="inlineStr">
        <is>
          <t>中</t>
        </is>
      </c>
      <c r="H7" s="18" t="n">
        <v>20.2</v>
      </c>
      <c r="I7" s="27" t="n">
        <v>2.63</v>
      </c>
      <c r="J7" s="12" t="n">
        <v>0.87</v>
      </c>
      <c r="K7" s="12" t="n">
        <v>-0.8139999999999999</v>
      </c>
      <c r="L7" s="12" t="n">
        <v>1.03</v>
      </c>
      <c r="M7" s="13" t="inlineStr">
        <is>
          <t>—</t>
        </is>
      </c>
      <c r="N7" s="13" t="inlineStr">
        <is>
          <t>⚠️ 暂不建仓</t>
        </is>
      </c>
      <c r="O7" s="19" t="n">
        <v>0.15</v>
      </c>
    </row>
    <row r="8">
      <c r="A8" s="12" t="inlineStr">
        <is>
          <t>NRG</t>
        </is>
      </c>
      <c r="B8" s="13" t="inlineStr">
        <is>
          <t>NRG Energy, Inc.</t>
        </is>
      </c>
      <c r="C8" s="12" t="inlineStr">
        <is>
          <t>🇺🇸 美股</t>
        </is>
      </c>
      <c r="D8" s="12" t="inlineStr">
        <is>
          <t>accumulation</t>
        </is>
      </c>
      <c r="E8" s="13" t="inlineStr">
        <is>
          <t>A/B (筑底中)</t>
        </is>
      </c>
      <c r="F8" s="13" t="inlineStr">
        <is>
          <t>底部区域,但形态还不明朗</t>
        </is>
      </c>
      <c r="G8" s="12" t="inlineStr">
        <is>
          <t>低</t>
        </is>
      </c>
      <c r="H8" s="18" t="n">
        <v>3.7</v>
      </c>
      <c r="I8" s="27" t="n">
        <v>-0.77</v>
      </c>
      <c r="J8" s="12" t="n">
        <v>0.72</v>
      </c>
      <c r="K8" s="12" t="n">
        <v>-0.263</v>
      </c>
      <c r="L8" s="12" t="n">
        <v>0.89</v>
      </c>
      <c r="M8" s="13" t="inlineStr">
        <is>
          <t>—</t>
        </is>
      </c>
      <c r="N8" s="13" t="inlineStr">
        <is>
          <t>⚠️ 暂不建仓</t>
        </is>
      </c>
      <c r="O8" s="19" t="n">
        <v>0.15</v>
      </c>
    </row>
    <row r="9">
      <c r="A9" s="12" t="inlineStr">
        <is>
          <t>STEM</t>
        </is>
      </c>
      <c r="B9" s="13" t="inlineStr">
        <is>
          <t>Stem, Inc.</t>
        </is>
      </c>
      <c r="C9" s="12" t="inlineStr">
        <is>
          <t>🇺🇸 美股</t>
        </is>
      </c>
      <c r="D9" s="12" t="inlineStr">
        <is>
          <t>accumulation</t>
        </is>
      </c>
      <c r="E9" s="13" t="inlineStr">
        <is>
          <t>A/B (筑底中)</t>
        </is>
      </c>
      <c r="F9" s="13" t="inlineStr">
        <is>
          <t>底部区域,但形态还不明朗</t>
        </is>
      </c>
      <c r="G9" s="12" t="inlineStr">
        <is>
          <t>低</t>
        </is>
      </c>
      <c r="H9" s="18" t="n">
        <v>11.5</v>
      </c>
      <c r="I9" s="27" t="n">
        <v>-11.77</v>
      </c>
      <c r="J9" s="12" t="n">
        <v>0.7</v>
      </c>
      <c r="K9" s="12" t="n">
        <v>-0.07000000000000001</v>
      </c>
      <c r="L9" s="12" t="n">
        <v>1.25</v>
      </c>
      <c r="M9" s="13" t="inlineStr">
        <is>
          <t>—</t>
        </is>
      </c>
      <c r="N9" s="13" t="inlineStr">
        <is>
          <t>⚠️ 暂不建仓</t>
        </is>
      </c>
      <c r="O9" s="19" t="n">
        <v>0.15</v>
      </c>
    </row>
    <row r="10">
      <c r="A10" s="12" t="inlineStr">
        <is>
          <t>SMR</t>
        </is>
      </c>
      <c r="B10" s="13" t="inlineStr">
        <is>
          <t>NuScale Power Corporat</t>
        </is>
      </c>
      <c r="C10" s="12" t="inlineStr">
        <is>
          <t>🇺🇸 美股</t>
        </is>
      </c>
      <c r="D10" s="12" t="inlineStr">
        <is>
          <t>accumulation</t>
        </is>
      </c>
      <c r="E10" s="13" t="inlineStr">
        <is>
          <t>C (Spring)</t>
        </is>
      </c>
      <c r="F10" s="13" t="inlineStr">
        <is>
          <t>刚出现 Spring 假跌破 (9.65),最佳建仓点之一</t>
        </is>
      </c>
      <c r="G10" s="12" t="inlineStr">
        <is>
          <t>高</t>
        </is>
      </c>
      <c r="H10" s="18" t="n">
        <v>7</v>
      </c>
      <c r="I10" s="27" t="n">
        <v>-11.65</v>
      </c>
      <c r="J10" s="12" t="n">
        <v>0.5600000000000001</v>
      </c>
      <c r="K10" s="12" t="n">
        <v>-1.891</v>
      </c>
      <c r="L10" s="12" t="n">
        <v>1.08</v>
      </c>
      <c r="M10" s="13" t="inlineStr">
        <is>
          <t>Spring @ 9.65</t>
        </is>
      </c>
      <c r="N10" s="13" t="inlineStr">
        <is>
          <t>✅ 强烈建仓</t>
        </is>
      </c>
      <c r="O10" s="19" t="n">
        <v>0.6</v>
      </c>
    </row>
    <row r="11">
      <c r="A11" s="12" t="inlineStr">
        <is>
          <t>OKLO</t>
        </is>
      </c>
      <c r="B11" s="13" t="inlineStr">
        <is>
          <t>Oklo Inc.</t>
        </is>
      </c>
      <c r="C11" s="12" t="inlineStr">
        <is>
          <t>🇺🇸 美股</t>
        </is>
      </c>
      <c r="D11" s="12" t="inlineStr">
        <is>
          <t>accumulation</t>
        </is>
      </c>
      <c r="E11" s="13" t="inlineStr">
        <is>
          <t>B (吸筹震荡)</t>
        </is>
      </c>
      <c r="F11" s="13" t="inlineStr">
        <is>
          <t>底部震荡,有吸筹特征</t>
        </is>
      </c>
      <c r="G11" s="12" t="inlineStr">
        <is>
          <t>中</t>
        </is>
      </c>
      <c r="H11" s="18" t="n">
        <v>25.3</v>
      </c>
      <c r="I11" s="27" t="n">
        <v>-2.72</v>
      </c>
      <c r="J11" s="12" t="n">
        <v>0.49</v>
      </c>
      <c r="K11" s="12" t="n">
        <v>0.101</v>
      </c>
      <c r="L11" s="12" t="n">
        <v>0.98</v>
      </c>
      <c r="M11" s="13" t="inlineStr">
        <is>
          <t>—</t>
        </is>
      </c>
      <c r="N11" s="13" t="inlineStr">
        <is>
          <t>🟡 小仓位试探</t>
        </is>
      </c>
      <c r="O11" s="19" t="n">
        <v>0.3</v>
      </c>
    </row>
    <row r="12">
      <c r="A12" s="12" t="inlineStr">
        <is>
          <t>603893.SS</t>
        </is>
      </c>
      <c r="B12" s="13" t="inlineStr">
        <is>
          <t>Rockchip Electronics C</t>
        </is>
      </c>
      <c r="C12" s="12" t="inlineStr">
        <is>
          <t>🇨🇳 A 股</t>
        </is>
      </c>
      <c r="D12" s="12" t="inlineStr">
        <is>
          <t>unclear</t>
        </is>
      </c>
      <c r="E12" s="13" t="inlineStr">
        <is>
          <t>中位震荡</t>
        </is>
      </c>
      <c r="F12" s="13" t="inlineStr">
        <is>
          <t>无明确方向</t>
        </is>
      </c>
      <c r="G12" s="12" t="inlineStr">
        <is>
          <t>低</t>
        </is>
      </c>
      <c r="H12" s="18" t="n">
        <v>36.4</v>
      </c>
      <c r="I12" s="27" t="n">
        <v>-2.42</v>
      </c>
      <c r="J12" s="12" t="n">
        <v>0.47</v>
      </c>
      <c r="K12" s="12" t="n">
        <v>0.059</v>
      </c>
      <c r="L12" s="12" t="n">
        <v>1.09</v>
      </c>
      <c r="M12" s="13" t="inlineStr">
        <is>
          <t>—</t>
        </is>
      </c>
      <c r="N12" s="13" t="inlineStr">
        <is>
          <t>⚪ 观望</t>
        </is>
      </c>
      <c r="O12" s="19" t="n">
        <v>0.2</v>
      </c>
    </row>
    <row r="13">
      <c r="A13" s="12" t="inlineStr">
        <is>
          <t>002230.SZ</t>
        </is>
      </c>
      <c r="B13" s="13" t="inlineStr">
        <is>
          <t>iFLYTEK CO.,LTD</t>
        </is>
      </c>
      <c r="C13" s="12" t="inlineStr">
        <is>
          <t>🇨🇳 A 股</t>
        </is>
      </c>
      <c r="D13" s="12" t="inlineStr">
        <is>
          <t>accumulation</t>
        </is>
      </c>
      <c r="E13" s="13" t="inlineStr">
        <is>
          <t>C-&gt;D (Spring 已确认)</t>
        </is>
      </c>
      <c r="F13" s="13" t="inlineStr">
        <is>
          <t>Spring 后已回升,SOS 信号待确认</t>
        </is>
      </c>
      <c r="G13" s="12" t="inlineStr">
        <is>
          <t>高</t>
        </is>
      </c>
      <c r="H13" s="18" t="n">
        <v>17.3</v>
      </c>
      <c r="I13" s="27" t="n">
        <v>-6.03</v>
      </c>
      <c r="J13" s="12" t="n">
        <v>0.31</v>
      </c>
      <c r="K13" s="12" t="n">
        <v>0.007</v>
      </c>
      <c r="L13" s="12" t="n">
        <v>1.09</v>
      </c>
      <c r="M13" s="13" t="inlineStr">
        <is>
          <t>Spring @ 45.36</t>
        </is>
      </c>
      <c r="N13" s="13" t="inlineStr">
        <is>
          <t>✅ 趋势确认建仓</t>
        </is>
      </c>
      <c r="O13" s="19" t="n">
        <v>0.7</v>
      </c>
    </row>
    <row r="14">
      <c r="A14" s="12" t="inlineStr">
        <is>
          <t>603160.SS</t>
        </is>
      </c>
      <c r="B14" s="13" t="inlineStr">
        <is>
          <t>Shenzhen Goodix Techno</t>
        </is>
      </c>
      <c r="C14" s="12" t="inlineStr">
        <is>
          <t>🇨🇳 A 股</t>
        </is>
      </c>
      <c r="D14" s="12" t="inlineStr">
        <is>
          <t>accumulation</t>
        </is>
      </c>
      <c r="E14" s="13" t="inlineStr">
        <is>
          <t>C (Spring)</t>
        </is>
      </c>
      <c r="F14" s="13" t="inlineStr">
        <is>
          <t>刚出现 Spring 假跌破 (64.38),最佳建仓点之一</t>
        </is>
      </c>
      <c r="G14" s="12" t="inlineStr">
        <is>
          <t>高</t>
        </is>
      </c>
      <c r="H14" s="18" t="n">
        <v>13.4</v>
      </c>
      <c r="I14" s="27" t="n">
        <v>-6.22</v>
      </c>
      <c r="J14" s="12" t="n">
        <v>0.54</v>
      </c>
      <c r="K14" s="12" t="n">
        <v>0.06</v>
      </c>
      <c r="L14" s="12" t="n">
        <v>1.02</v>
      </c>
      <c r="M14" s="13" t="inlineStr">
        <is>
          <t>Spring @ 64.38</t>
        </is>
      </c>
      <c r="N14" s="13" t="inlineStr">
        <is>
          <t>✅ 强烈建仓</t>
        </is>
      </c>
      <c r="O14" s="19" t="n">
        <v>0.6</v>
      </c>
    </row>
    <row r="15">
      <c r="A15" s="12" t="inlineStr">
        <is>
          <t>603690.SS</t>
        </is>
      </c>
      <c r="B15" s="13" t="inlineStr">
        <is>
          <t>PNC Process Systems Co</t>
        </is>
      </c>
      <c r="C15" s="12" t="inlineStr">
        <is>
          <t>🇨🇳 A 股</t>
        </is>
      </c>
      <c r="D15" s="12" t="inlineStr">
        <is>
          <t>accumulation</t>
        </is>
      </c>
      <c r="E15" s="13" t="inlineStr">
        <is>
          <t>C-&gt;D (Spring 已确认)</t>
        </is>
      </c>
      <c r="F15" s="13" t="inlineStr">
        <is>
          <t>Spring 后已回升,SOS 信号待确认</t>
        </is>
      </c>
      <c r="G15" s="12" t="inlineStr">
        <is>
          <t>高</t>
        </is>
      </c>
      <c r="H15" s="18" t="n">
        <v>20.3</v>
      </c>
      <c r="I15" s="27" t="n">
        <v>-6.58</v>
      </c>
      <c r="J15" s="12" t="n">
        <v>0.58</v>
      </c>
      <c r="K15" s="12" t="n">
        <v>0.056</v>
      </c>
      <c r="L15" s="12" t="n">
        <v>1.24</v>
      </c>
      <c r="M15" s="13" t="inlineStr">
        <is>
          <t>Spring @ 23.67</t>
        </is>
      </c>
      <c r="N15" s="13" t="inlineStr">
        <is>
          <t>✅ 趋势确认建仓</t>
        </is>
      </c>
      <c r="O15" s="19" t="n">
        <v>0.7</v>
      </c>
    </row>
  </sheetData>
  <mergeCells count="1">
    <mergeCell ref="A1:O1"/>
  </mergeCells>
  <conditionalFormatting sqref="A4:O15">
    <cfRule type="expression" priority="1" dxfId="0">
      <formula>ISNUMBER(SEARCH("Spring",$E4))</formula>
    </cfRule>
    <cfRule type="expression" priority="2" dxfId="1">
      <formula>ISNUMBER(SEARCH("SOS",$E4))</formula>
    </cfRule>
    <cfRule type="expression" priority="3" dxfId="3">
      <formula>OR(ISNUMBER(SEARCH("UTAD",$E4)),ISNUMBER(SEARCH("派发",$E4)),ISNUMBER(SEARCH("SOW",$E4)))</formula>
    </cfRule>
    <cfRule type="expression" priority="4" dxfId="2">
      <formula>ISNUMBER(SEARCH("吸筹",$E4))</formula>
    </cfRule>
  </conditionalFormatting>
  <conditionalFormatting sqref="O4:O15">
    <cfRule type="dataBar" priority="5">
      <dataBar>
        <cfvo type="num" val="0"/>
        <cfvo type="num" val="1"/>
        <color rgb="0000B050"/>
      </dataBar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22" customWidth="1" min="2" max="2"/>
    <col width="9" customWidth="1" min="3" max="3"/>
    <col width="22" customWidth="1" min="4" max="4"/>
    <col width="13" customWidth="1" min="5" max="5"/>
    <col width="36" customWidth="1" min="6" max="6"/>
    <col width="11" customWidth="1" min="7" max="7"/>
    <col width="11" customWidth="1" min="8" max="8"/>
  </cols>
  <sheetData>
    <row r="1">
      <c r="A1" s="7" t="inlineStr">
        <is>
          <t>⚡ 操作信号汇总(分批建仓策略)</t>
        </is>
      </c>
    </row>
    <row r="3">
      <c r="A3" s="11" t="inlineStr">
        <is>
          <t>代码</t>
        </is>
      </c>
      <c r="B3" s="11" t="inlineStr">
        <is>
          <t>名称</t>
        </is>
      </c>
      <c r="C3" s="11" t="inlineStr">
        <is>
          <t>市场</t>
        </is>
      </c>
      <c r="D3" s="11" t="inlineStr">
        <is>
          <t>Wyckoff 阶段</t>
        </is>
      </c>
      <c r="E3" s="11" t="inlineStr">
        <is>
          <t>建议操作</t>
        </is>
      </c>
      <c r="F3" s="11" t="inlineStr">
        <is>
          <t>第二批触发条件</t>
        </is>
      </c>
      <c r="G3" s="11" t="inlineStr">
        <is>
          <t>止损价</t>
        </is>
      </c>
      <c r="H3" s="11" t="inlineStr">
        <is>
          <t>首批 %</t>
        </is>
      </c>
    </row>
    <row r="4">
      <c r="A4" s="12" t="inlineStr">
        <is>
          <t>EXE</t>
        </is>
      </c>
      <c r="B4" s="13" t="inlineStr">
        <is>
          <t>Expand Energy Corporat</t>
        </is>
      </c>
      <c r="C4" s="12" t="inlineStr">
        <is>
          <t>🇺🇸 美股</t>
        </is>
      </c>
      <c r="D4" s="13" t="inlineStr">
        <is>
          <t>C (Spring)</t>
        </is>
      </c>
      <c r="E4" s="13" t="inlineStr">
        <is>
          <t>✅ 强烈建仓</t>
        </is>
      </c>
      <c r="F4" s="13" t="inlineStr">
        <is>
          <t>突破 100.09(+5%) 加仓</t>
        </is>
      </c>
      <c r="G4" s="20" t="n">
        <v>94.37</v>
      </c>
      <c r="H4" s="19" t="n">
        <v>0.6</v>
      </c>
    </row>
    <row r="5">
      <c r="A5" s="12" t="inlineStr">
        <is>
          <t>SMR</t>
        </is>
      </c>
      <c r="B5" s="13" t="inlineStr">
        <is>
          <t>NuScale Power Corporat</t>
        </is>
      </c>
      <c r="C5" s="12" t="inlineStr">
        <is>
          <t>🇺🇸 美股</t>
        </is>
      </c>
      <c r="D5" s="13" t="inlineStr">
        <is>
          <t>C (Spring)</t>
        </is>
      </c>
      <c r="E5" s="13" t="inlineStr">
        <is>
          <t>✅ 强烈建仓</t>
        </is>
      </c>
      <c r="F5" s="13" t="inlineStr">
        <is>
          <t>突破 12.86(+5%) 加仓</t>
        </is>
      </c>
      <c r="G5" s="20" t="n">
        <v>9.369999999999999</v>
      </c>
      <c r="H5" s="19" t="n">
        <v>0.6</v>
      </c>
    </row>
    <row r="6">
      <c r="A6" s="12" t="inlineStr">
        <is>
          <t>PEG</t>
        </is>
      </c>
      <c r="B6" s="13" t="inlineStr">
        <is>
          <t>Public Service Enterpr</t>
        </is>
      </c>
      <c r="C6" s="12" t="inlineStr">
        <is>
          <t>🇺🇸 美股</t>
        </is>
      </c>
      <c r="D6" s="13" t="inlineStr">
        <is>
          <t>B (吸筹震荡)</t>
        </is>
      </c>
      <c r="E6" s="13" t="inlineStr">
        <is>
          <t>🟡 小仓位试探</t>
        </is>
      </c>
      <c r="F6" s="13" t="inlineStr">
        <is>
          <t>突破 83.82 加 / 回踩 76.60 不破再加</t>
        </is>
      </c>
      <c r="G6" s="20" t="n">
        <v>71.23999999999999</v>
      </c>
      <c r="H6" s="19" t="n">
        <v>0.3</v>
      </c>
    </row>
    <row r="7">
      <c r="A7" s="12" t="inlineStr">
        <is>
          <t>OKLO</t>
        </is>
      </c>
      <c r="B7" s="13" t="inlineStr">
        <is>
          <t>Oklo Inc.</t>
        </is>
      </c>
      <c r="C7" s="12" t="inlineStr">
        <is>
          <t>🇺🇸 美股</t>
        </is>
      </c>
      <c r="D7" s="13" t="inlineStr">
        <is>
          <t>B (吸筹震荡)</t>
        </is>
      </c>
      <c r="E7" s="13" t="inlineStr">
        <is>
          <t>🟡 小仓位试探</t>
        </is>
      </c>
      <c r="F7" s="13" t="inlineStr">
        <is>
          <t>突破 83.13 加 / 回踩 60.81 不破再加</t>
        </is>
      </c>
      <c r="G7" s="20" t="n">
        <v>56.55</v>
      </c>
      <c r="H7" s="19" t="n">
        <v>0.3</v>
      </c>
    </row>
    <row r="8">
      <c r="A8" s="12" t="inlineStr">
        <is>
          <t>VST</t>
        </is>
      </c>
      <c r="B8" s="13" t="inlineStr">
        <is>
          <t>Vistra Corp.</t>
        </is>
      </c>
      <c r="C8" s="12" t="inlineStr">
        <is>
          <t>🇺🇸 美股</t>
        </is>
      </c>
      <c r="D8" s="13" t="inlineStr">
        <is>
          <t>A (止跌)</t>
        </is>
      </c>
      <c r="E8" s="13" t="inlineStr">
        <is>
          <t>⚠️ 暂不建仓</t>
        </is>
      </c>
      <c r="F8" s="13" t="inlineStr">
        <is>
          <t>等待突破 173.54(确认 SOS)再建主仓</t>
        </is>
      </c>
      <c r="G8" s="20" t="n">
        <v>131.27</v>
      </c>
      <c r="H8" s="19" t="n">
        <v>0.15</v>
      </c>
    </row>
    <row r="9">
      <c r="A9" s="12" t="inlineStr">
        <is>
          <t>CEG</t>
        </is>
      </c>
      <c r="B9" s="13" t="inlineStr">
        <is>
          <t>Constellation Energy C</t>
        </is>
      </c>
      <c r="C9" s="12" t="inlineStr">
        <is>
          <t>🇺🇸 美股</t>
        </is>
      </c>
      <c r="D9" s="13" t="inlineStr">
        <is>
          <t>A-&gt;B (筑底)</t>
        </is>
      </c>
      <c r="E9" s="13" t="inlineStr">
        <is>
          <t>⚠️ 暂不建仓</t>
        </is>
      </c>
      <c r="F9" s="13" t="inlineStr">
        <is>
          <t>等待突破 338.66(确认 SOS)再建主仓</t>
        </is>
      </c>
      <c r="G9" s="20" t="n">
        <v>254.93</v>
      </c>
      <c r="H9" s="19" t="n">
        <v>0.15</v>
      </c>
    </row>
    <row r="10">
      <c r="A10" s="12" t="inlineStr">
        <is>
          <t>NRG</t>
        </is>
      </c>
      <c r="B10" s="13" t="inlineStr">
        <is>
          <t>NRG Energy, Inc.</t>
        </is>
      </c>
      <c r="C10" s="12" t="inlineStr">
        <is>
          <t>🇺🇸 美股</t>
        </is>
      </c>
      <c r="D10" s="13" t="inlineStr">
        <is>
          <t>A/B (筑底中)</t>
        </is>
      </c>
      <c r="E10" s="13" t="inlineStr">
        <is>
          <t>⚠️ 暂不建仓</t>
        </is>
      </c>
      <c r="F10" s="13" t="inlineStr">
        <is>
          <t>等待突破 180.23(确认 SOS)再建主仓</t>
        </is>
      </c>
      <c r="G10" s="20" t="n">
        <v>120.95</v>
      </c>
      <c r="H10" s="19" t="n">
        <v>0.15</v>
      </c>
    </row>
    <row r="11">
      <c r="A11" s="12" t="inlineStr">
        <is>
          <t>STEM</t>
        </is>
      </c>
      <c r="B11" s="13" t="inlineStr">
        <is>
          <t>Stem, Inc.</t>
        </is>
      </c>
      <c r="C11" s="12" t="inlineStr">
        <is>
          <t>🇺🇸 美股</t>
        </is>
      </c>
      <c r="D11" s="13" t="inlineStr">
        <is>
          <t>A/B (筑底中)</t>
        </is>
      </c>
      <c r="E11" s="13" t="inlineStr">
        <is>
          <t>⚠️ 暂不建仓</t>
        </is>
      </c>
      <c r="F11" s="13" t="inlineStr">
        <is>
          <t>等待突破 12.64(确认 SOS)再建主仓</t>
        </is>
      </c>
      <c r="G11" s="20" t="n">
        <v>8.23</v>
      </c>
      <c r="H11" s="19" t="n">
        <v>0.15</v>
      </c>
    </row>
    <row r="12">
      <c r="A12" s="12" t="inlineStr">
        <is>
          <t>002230.SZ</t>
        </is>
      </c>
      <c r="B12" s="13" t="inlineStr">
        <is>
          <t>iFLYTEK CO.,LTD</t>
        </is>
      </c>
      <c r="C12" s="12" t="inlineStr">
        <is>
          <t>🇨🇳 A 股</t>
        </is>
      </c>
      <c r="D12" s="13" t="inlineStr">
        <is>
          <t>C-&gt;D (Spring 已确认)</t>
        </is>
      </c>
      <c r="E12" s="13" t="inlineStr">
        <is>
          <t>✅ 趋势确认建仓</t>
        </is>
      </c>
      <c r="F12" s="13" t="inlineStr">
        <is>
          <t>突破 50.29(+3%) 加仓</t>
        </is>
      </c>
      <c r="G12" s="20" t="n">
        <v>49.17</v>
      </c>
      <c r="H12" s="19" t="n">
        <v>0.7</v>
      </c>
    </row>
    <row r="13">
      <c r="A13" s="12" t="inlineStr">
        <is>
          <t>603690.SS</t>
        </is>
      </c>
      <c r="B13" s="13" t="inlineStr">
        <is>
          <t>PNC Process Systems Co</t>
        </is>
      </c>
      <c r="C13" s="12" t="inlineStr">
        <is>
          <t>🇨🇳 A 股</t>
        </is>
      </c>
      <c r="D13" s="13" t="inlineStr">
        <is>
          <t>C-&gt;D (Spring 已确认)</t>
        </is>
      </c>
      <c r="E13" s="13" t="inlineStr">
        <is>
          <t>✅ 趋势确认建仓</t>
        </is>
      </c>
      <c r="F13" s="13" t="inlineStr">
        <is>
          <t>突破 27.68(+3%) 加仓</t>
        </is>
      </c>
      <c r="G13" s="20" t="n">
        <v>25.4</v>
      </c>
      <c r="H13" s="19" t="n">
        <v>0.7</v>
      </c>
    </row>
    <row r="14">
      <c r="A14" s="12" t="inlineStr">
        <is>
          <t>603160.SS</t>
        </is>
      </c>
      <c r="B14" s="13" t="inlineStr">
        <is>
          <t>Shenzhen Goodix Techno</t>
        </is>
      </c>
      <c r="C14" s="12" t="inlineStr">
        <is>
          <t>🇨🇳 A 股</t>
        </is>
      </c>
      <c r="D14" s="13" t="inlineStr">
        <is>
          <t>C (Spring)</t>
        </is>
      </c>
      <c r="E14" s="13" t="inlineStr">
        <is>
          <t>✅ 强烈建仓</t>
        </is>
      </c>
      <c r="F14" s="13" t="inlineStr">
        <is>
          <t>突破 69.69(+5%) 加仓</t>
        </is>
      </c>
      <c r="G14" s="20" t="n">
        <v>62.45</v>
      </c>
      <c r="H14" s="19" t="n">
        <v>0.6</v>
      </c>
    </row>
    <row r="15">
      <c r="A15" s="12" t="inlineStr">
        <is>
          <t>603893.SS</t>
        </is>
      </c>
      <c r="B15" s="13" t="inlineStr">
        <is>
          <t>Rockchip Electronics C</t>
        </is>
      </c>
      <c r="C15" s="12" t="inlineStr">
        <is>
          <t>🇨🇳 A 股</t>
        </is>
      </c>
      <c r="D15" s="13" t="inlineStr">
        <is>
          <t>中位震荡</t>
        </is>
      </c>
      <c r="E15" s="13" t="inlineStr">
        <is>
          <t>⚪ 观望</t>
        </is>
      </c>
      <c r="F15" s="13" t="inlineStr">
        <is>
          <t>无明确方向</t>
        </is>
      </c>
      <c r="G15" s="20" t="n">
        <v>165.08</v>
      </c>
      <c r="H15" s="19" t="n">
        <v>0.2</v>
      </c>
    </row>
  </sheetData>
  <mergeCells count="1">
    <mergeCell ref="A1:H1"/>
  </mergeCells>
  <conditionalFormatting sqref="A4:H15">
    <cfRule type="expression" priority="1" dxfId="0">
      <formula>ISNUMBER(SEARCH("强烈建仓",$E4))</formula>
    </cfRule>
    <cfRule type="expression" priority="2" dxfId="1">
      <formula>OR(ISNUMBER(SEARCH("趋势确认",$E4)),ISNUMBER(SEARCH("趋势中",$E4)))</formula>
    </cfRule>
    <cfRule type="expression" priority="3" dxfId="2">
      <formula>ISNUMBER(SEARCH("试探",$E4))</formula>
    </cfRule>
    <cfRule type="expression" priority="4" dxfId="3">
      <formula>ISNUMBER(SEARCH("不建仓",$E4))</formula>
    </cfRule>
  </conditionalFormatting>
  <conditionalFormatting sqref="H4:H15">
    <cfRule type="dataBar" priority="5">
      <dataBar>
        <cfvo type="num" val="0"/>
        <cfvo type="num" val="1"/>
        <color rgb="0000B050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2026-05-13T17:02:31Z</dcterms:created>
  <dcterms:modified xsi:type="dcterms:W3CDTF">2026-05-13T17:02:32Z</dcterms:modified>
</cp:coreProperties>
</file>