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A持仓计算器" sheetId="1" state="visible" r:id="rId1"/>
    <sheet name="示例演示" sheetId="2" state="visible" r:id="rId2"/>
    <sheet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"/>
    <numFmt numFmtId="167" formatCode="$#,##0.00"/>
    <numFmt numFmtId="168" formatCode="0.00000000"/>
  </numFmts>
  <fonts count="12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b val="1"/>
      <color rgb="00000000"/>
      <sz val="11"/>
    </font>
    <font>
      <name val="微软雅黑"/>
      <i val="1"/>
      <color rgb="00666666"/>
      <sz val="10"/>
    </font>
    <font>
      <name val="微软雅黑"/>
      <b val="1"/>
      <color rgb="00666666"/>
      <sz val="10"/>
    </font>
    <font>
      <name val="微软雅黑"/>
      <color rgb="001F4E78"/>
      <sz val="11"/>
    </font>
    <font>
      <name val="微软雅黑"/>
      <b val="1"/>
      <color rgb="001F4E78"/>
      <sz val="11"/>
    </font>
    <font>
      <name val="微软雅黑"/>
      <sz val="10"/>
    </font>
    <font>
      <name val="微软雅黑"/>
      <b val="1"/>
      <color rgb="001F4E78"/>
      <sz val="16"/>
    </font>
    <font>
      <name val="微软雅黑"/>
      <color rgb="00333333"/>
      <sz val="11"/>
    </font>
    <font>
      <name val="微软雅黑"/>
      <b val="1"/>
      <color rgb="00C00000"/>
      <sz val="12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7F0F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0" fontId="6" fillId="6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7" fontId="6" fillId="6" borderId="1" applyAlignment="1" pivotButton="0" quotePrefix="0" xfId="0">
      <alignment horizontal="center" vertical="center"/>
    </xf>
    <xf numFmtId="168" fontId="6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10" fontId="7" fillId="6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1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3" customWidth="1" min="12" max="12"/>
  </cols>
  <sheetData>
    <row r="1" ht="28" customHeight="1">
      <c r="A1" s="1" t="inlineStr">
        <is>
          <t>DCA 动态加仓持仓计算器 （黄色格子填入实际交易）</t>
        </is>
      </c>
    </row>
    <row r="3">
      <c r="A3" s="2" t="inlineStr">
        <is>
          <t>初始本金</t>
        </is>
      </c>
      <c r="B3" s="3" t="n">
        <v>10000</v>
      </c>
      <c r="C3" s="2" t="inlineStr">
        <is>
          <t>首次买入%</t>
        </is>
      </c>
      <c r="D3" s="4" t="n">
        <v>0.1</v>
      </c>
      <c r="E3" s="2" t="inlineStr">
        <is>
          <t>买入倍率</t>
        </is>
      </c>
      <c r="F3" s="5" t="n">
        <v>1</v>
      </c>
      <c r="G3" s="2" t="inlineStr">
        <is>
          <t>卖出倍率</t>
        </is>
      </c>
      <c r="H3" s="5" t="n">
        <v>1</v>
      </c>
      <c r="I3" s="2" t="inlineStr">
        <is>
          <t>当前市价</t>
        </is>
      </c>
      <c r="J3" s="6" t="n">
        <v>2350</v>
      </c>
      <c r="K3" s="2" t="inlineStr">
        <is>
          <t>币种</t>
        </is>
      </c>
      <c r="L3" s="7" t="inlineStr">
        <is>
          <t>ETH</t>
        </is>
      </c>
    </row>
    <row r="4">
      <c r="A4" s="8" t="inlineStr">
        <is>
          <t>规则：首次按固定%建仓 → 后续每次BUY：跌幅% × 买入倍率 = 本次买入占本金% ｜ SELL：涨幅% × 卖出倍率 = 本次卖出占持仓%</t>
        </is>
      </c>
    </row>
    <row r="6">
      <c r="A6" s="2" t="inlineStr">
        <is>
          <t>#</t>
        </is>
      </c>
      <c r="B6" s="2" t="inlineStr">
        <is>
          <t>操作</t>
        </is>
      </c>
      <c r="C6" s="2" t="inlineStr">
        <is>
          <t>日期</t>
        </is>
      </c>
      <c r="D6" s="2" t="inlineStr">
        <is>
          <t>成交价</t>
        </is>
      </c>
      <c r="E6" s="2" t="inlineStr">
        <is>
          <t>涨跌%</t>
        </is>
      </c>
      <c r="F6" s="2" t="inlineStr">
        <is>
          <t>建议%</t>
        </is>
      </c>
      <c r="G6" s="2" t="inlineStr">
        <is>
          <t>实际投入%</t>
        </is>
      </c>
      <c r="H6" s="2" t="inlineStr">
        <is>
          <t>金额$</t>
        </is>
      </c>
      <c r="I6" s="2" t="inlineStr">
        <is>
          <t>数量</t>
        </is>
      </c>
      <c r="J6" s="2" t="inlineStr">
        <is>
          <t>平均成本</t>
        </is>
      </c>
      <c r="K6" s="2" t="inlineStr">
        <is>
          <t>累计持仓</t>
        </is>
      </c>
      <c r="L6" s="2" t="inlineStr">
        <is>
          <t>累计投入$</t>
        </is>
      </c>
    </row>
    <row r="7">
      <c r="A7" s="9" t="n">
        <v>1</v>
      </c>
      <c r="B7" s="7" t="n"/>
      <c r="C7" s="10" t="n"/>
      <c r="D7" s="6" t="n"/>
      <c r="E7" s="11" t="n">
        <v>0</v>
      </c>
      <c r="F7" s="11">
        <f>$D$3</f>
        <v/>
      </c>
      <c r="G7" s="12">
        <f>F7</f>
        <v/>
      </c>
      <c r="H7" s="13">
        <f>IF(B7="BUY",$B$3*G7,IF(B7="SELL",-K7*G7*D7,0))</f>
        <v/>
      </c>
      <c r="I7" s="14">
        <f>IFERROR(IF(B7="BUY",H7/D7,IF(B7="SELL",-K7*G7,0)),0)</f>
        <v/>
      </c>
      <c r="J7" s="15">
        <f>IFERROR(IF(B7="BUY",D7,0),0)</f>
        <v/>
      </c>
      <c r="K7" s="14">
        <f>I7</f>
        <v/>
      </c>
      <c r="L7" s="13">
        <f>IF(B7="BUY",H7,0)</f>
        <v/>
      </c>
    </row>
    <row r="8">
      <c r="A8" s="9" t="n">
        <v>2</v>
      </c>
      <c r="B8" s="7" t="n"/>
      <c r="C8" s="10" t="n"/>
      <c r="D8" s="6" t="n"/>
      <c r="E8" s="11">
        <f>IFERROR(IF(OR(B8="BUY",B8="SELL"),IF(J7&gt;0,(D8-J7)/J7,0),""),"")</f>
        <v/>
      </c>
      <c r="F8" s="11">
        <f>IFERROR(IF(B8="BUY",MAX(0,-E8)*$F$3,IF(B8="SELL",MAX(0,E8)*$H$3,0)),0)</f>
        <v/>
      </c>
      <c r="G8" s="12">
        <f>F8</f>
        <v/>
      </c>
      <c r="H8" s="13">
        <f>IFERROR(IF(B8="BUY",$B$3*G8,IF(B8="SELL",-K7*G8*D8,0)),0)</f>
        <v/>
      </c>
      <c r="I8" s="14">
        <f>IFERROR(IF(B8="BUY",H8/D8,IF(B8="SELL",-K7*G8,0)),0)</f>
        <v/>
      </c>
      <c r="J8" s="15">
        <f>IFERROR(IF(B8="BUY",IF((K7+I8)&gt;0,(J7*K7+H8)/(K7+I8),0),IF(B8="SELL",J7,J7)),J7)</f>
        <v/>
      </c>
      <c r="K8" s="14">
        <f>K7+I8</f>
        <v/>
      </c>
      <c r="L8" s="13">
        <f>L7+IF(B8="BUY",H8,0)</f>
        <v/>
      </c>
    </row>
    <row r="9">
      <c r="A9" s="9" t="n">
        <v>3</v>
      </c>
      <c r="B9" s="7" t="n"/>
      <c r="C9" s="10" t="n"/>
      <c r="D9" s="6" t="n"/>
      <c r="E9" s="11">
        <f>IFERROR(IF(OR(B9="BUY",B9="SELL"),IF(J8&gt;0,(D9-J8)/J8,0),""),"")</f>
        <v/>
      </c>
      <c r="F9" s="11">
        <f>IFERROR(IF(B9="BUY",MAX(0,-E9)*$F$3,IF(B9="SELL",MAX(0,E9)*$H$3,0)),0)</f>
        <v/>
      </c>
      <c r="G9" s="12">
        <f>F9</f>
        <v/>
      </c>
      <c r="H9" s="13">
        <f>IFERROR(IF(B9="BUY",$B$3*G9,IF(B9="SELL",-K8*G9*D9,0)),0)</f>
        <v/>
      </c>
      <c r="I9" s="14">
        <f>IFERROR(IF(B9="BUY",H9/D9,IF(B9="SELL",-K8*G9,0)),0)</f>
        <v/>
      </c>
      <c r="J9" s="15">
        <f>IFERROR(IF(B9="BUY",IF((K8+I9)&gt;0,(J8*K8+H9)/(K8+I9),0),IF(B9="SELL",J8,J8)),J8)</f>
        <v/>
      </c>
      <c r="K9" s="14">
        <f>K8+I9</f>
        <v/>
      </c>
      <c r="L9" s="13">
        <f>L8+IF(B9="BUY",H9,0)</f>
        <v/>
      </c>
    </row>
    <row r="10">
      <c r="A10" s="9" t="n">
        <v>4</v>
      </c>
      <c r="B10" s="7" t="n"/>
      <c r="C10" s="10" t="n"/>
      <c r="D10" s="6" t="n"/>
      <c r="E10" s="11">
        <f>IFERROR(IF(OR(B10="BUY",B10="SELL"),IF(J9&gt;0,(D10-J9)/J9,0),""),"")</f>
        <v/>
      </c>
      <c r="F10" s="11">
        <f>IFERROR(IF(B10="BUY",MAX(0,-E10)*$F$3,IF(B10="SELL",MAX(0,E10)*$H$3,0)),0)</f>
        <v/>
      </c>
      <c r="G10" s="12">
        <f>F10</f>
        <v/>
      </c>
      <c r="H10" s="13">
        <f>IFERROR(IF(B10="BUY",$B$3*G10,IF(B10="SELL",-K9*G10*D10,0)),0)</f>
        <v/>
      </c>
      <c r="I10" s="14">
        <f>IFERROR(IF(B10="BUY",H10/D10,IF(B10="SELL",-K9*G10,0)),0)</f>
        <v/>
      </c>
      <c r="J10" s="15">
        <f>IFERROR(IF(B10="BUY",IF((K9+I10)&gt;0,(J9*K9+H10)/(K9+I10),0),IF(B10="SELL",J9,J9)),J9)</f>
        <v/>
      </c>
      <c r="K10" s="14">
        <f>K9+I10</f>
        <v/>
      </c>
      <c r="L10" s="13">
        <f>L9+IF(B10="BUY",H10,0)</f>
        <v/>
      </c>
    </row>
    <row r="11">
      <c r="A11" s="9" t="n">
        <v>5</v>
      </c>
      <c r="B11" s="7" t="n"/>
      <c r="C11" s="10" t="n"/>
      <c r="D11" s="6" t="n"/>
      <c r="E11" s="11">
        <f>IFERROR(IF(OR(B11="BUY",B11="SELL"),IF(J10&gt;0,(D11-J10)/J10,0),""),"")</f>
        <v/>
      </c>
      <c r="F11" s="11">
        <f>IFERROR(IF(B11="BUY",MAX(0,-E11)*$F$3,IF(B11="SELL",MAX(0,E11)*$H$3,0)),0)</f>
        <v/>
      </c>
      <c r="G11" s="12">
        <f>F11</f>
        <v/>
      </c>
      <c r="H11" s="13">
        <f>IFERROR(IF(B11="BUY",$B$3*G11,IF(B11="SELL",-K10*G11*D11,0)),0)</f>
        <v/>
      </c>
      <c r="I11" s="14">
        <f>IFERROR(IF(B11="BUY",H11/D11,IF(B11="SELL",-K10*G11,0)),0)</f>
        <v/>
      </c>
      <c r="J11" s="15">
        <f>IFERROR(IF(B11="BUY",IF((K10+I11)&gt;0,(J10*K10+H11)/(K10+I11),0),IF(B11="SELL",J10,J10)),J10)</f>
        <v/>
      </c>
      <c r="K11" s="14">
        <f>K10+I11</f>
        <v/>
      </c>
      <c r="L11" s="13">
        <f>L10+IF(B11="BUY",H11,0)</f>
        <v/>
      </c>
    </row>
    <row r="12">
      <c r="A12" s="9" t="n">
        <v>6</v>
      </c>
      <c r="B12" s="7" t="n"/>
      <c r="C12" s="10" t="n"/>
      <c r="D12" s="6" t="n"/>
      <c r="E12" s="11">
        <f>IFERROR(IF(OR(B12="BUY",B12="SELL"),IF(J11&gt;0,(D12-J11)/J11,0),""),"")</f>
        <v/>
      </c>
      <c r="F12" s="11">
        <f>IFERROR(IF(B12="BUY",MAX(0,-E12)*$F$3,IF(B12="SELL",MAX(0,E12)*$H$3,0)),0)</f>
        <v/>
      </c>
      <c r="G12" s="12">
        <f>F12</f>
        <v/>
      </c>
      <c r="H12" s="13">
        <f>IFERROR(IF(B12="BUY",$B$3*G12,IF(B12="SELL",-K11*G12*D12,0)),0)</f>
        <v/>
      </c>
      <c r="I12" s="14">
        <f>IFERROR(IF(B12="BUY",H12/D12,IF(B12="SELL",-K11*G12,0)),0)</f>
        <v/>
      </c>
      <c r="J12" s="15">
        <f>IFERROR(IF(B12="BUY",IF((K11+I12)&gt;0,(J11*K11+H12)/(K11+I12),0),IF(B12="SELL",J11,J11)),J11)</f>
        <v/>
      </c>
      <c r="K12" s="14">
        <f>K11+I12</f>
        <v/>
      </c>
      <c r="L12" s="13">
        <f>L11+IF(B12="BUY",H12,0)</f>
        <v/>
      </c>
    </row>
    <row r="13">
      <c r="A13" s="9" t="n">
        <v>7</v>
      </c>
      <c r="B13" s="7" t="n"/>
      <c r="C13" s="10" t="n"/>
      <c r="D13" s="6" t="n"/>
      <c r="E13" s="11">
        <f>IFERROR(IF(OR(B13="BUY",B13="SELL"),IF(J12&gt;0,(D13-J12)/J12,0),""),"")</f>
        <v/>
      </c>
      <c r="F13" s="11">
        <f>IFERROR(IF(B13="BUY",MAX(0,-E13)*$F$3,IF(B13="SELL",MAX(0,E13)*$H$3,0)),0)</f>
        <v/>
      </c>
      <c r="G13" s="12">
        <f>F13</f>
        <v/>
      </c>
      <c r="H13" s="13">
        <f>IFERROR(IF(B13="BUY",$B$3*G13,IF(B13="SELL",-K12*G13*D13,0)),0)</f>
        <v/>
      </c>
      <c r="I13" s="14">
        <f>IFERROR(IF(B13="BUY",H13/D13,IF(B13="SELL",-K12*G13,0)),0)</f>
        <v/>
      </c>
      <c r="J13" s="15">
        <f>IFERROR(IF(B13="BUY",IF((K12+I13)&gt;0,(J12*K12+H13)/(K12+I13),0),IF(B13="SELL",J12,J12)),J12)</f>
        <v/>
      </c>
      <c r="K13" s="14">
        <f>K12+I13</f>
        <v/>
      </c>
      <c r="L13" s="13">
        <f>L12+IF(B13="BUY",H13,0)</f>
        <v/>
      </c>
    </row>
    <row r="14">
      <c r="A14" s="9" t="n">
        <v>8</v>
      </c>
      <c r="B14" s="7" t="n"/>
      <c r="C14" s="10" t="n"/>
      <c r="D14" s="6" t="n"/>
      <c r="E14" s="11">
        <f>IFERROR(IF(OR(B14="BUY",B14="SELL"),IF(J13&gt;0,(D14-J13)/J13,0),""),"")</f>
        <v/>
      </c>
      <c r="F14" s="11">
        <f>IFERROR(IF(B14="BUY",MAX(0,-E14)*$F$3,IF(B14="SELL",MAX(0,E14)*$H$3,0)),0)</f>
        <v/>
      </c>
      <c r="G14" s="12">
        <f>F14</f>
        <v/>
      </c>
      <c r="H14" s="13">
        <f>IFERROR(IF(B14="BUY",$B$3*G14,IF(B14="SELL",-K13*G14*D14,0)),0)</f>
        <v/>
      </c>
      <c r="I14" s="14">
        <f>IFERROR(IF(B14="BUY",H14/D14,IF(B14="SELL",-K13*G14,0)),0)</f>
        <v/>
      </c>
      <c r="J14" s="15">
        <f>IFERROR(IF(B14="BUY",IF((K13+I14)&gt;0,(J13*K13+H14)/(K13+I14),0),IF(B14="SELL",J13,J13)),J13)</f>
        <v/>
      </c>
      <c r="K14" s="14">
        <f>K13+I14</f>
        <v/>
      </c>
      <c r="L14" s="13">
        <f>L13+IF(B14="BUY",H14,0)</f>
        <v/>
      </c>
    </row>
    <row r="15">
      <c r="A15" s="9" t="n">
        <v>9</v>
      </c>
      <c r="B15" s="7" t="n"/>
      <c r="C15" s="10" t="n"/>
      <c r="D15" s="6" t="n"/>
      <c r="E15" s="11">
        <f>IFERROR(IF(OR(B15="BUY",B15="SELL"),IF(J14&gt;0,(D15-J14)/J14,0),""),"")</f>
        <v/>
      </c>
      <c r="F15" s="11">
        <f>IFERROR(IF(B15="BUY",MAX(0,-E15)*$F$3,IF(B15="SELL",MAX(0,E15)*$H$3,0)),0)</f>
        <v/>
      </c>
      <c r="G15" s="12">
        <f>F15</f>
        <v/>
      </c>
      <c r="H15" s="13">
        <f>IFERROR(IF(B15="BUY",$B$3*G15,IF(B15="SELL",-K14*G15*D15,0)),0)</f>
        <v/>
      </c>
      <c r="I15" s="14">
        <f>IFERROR(IF(B15="BUY",H15/D15,IF(B15="SELL",-K14*G15,0)),0)</f>
        <v/>
      </c>
      <c r="J15" s="15">
        <f>IFERROR(IF(B15="BUY",IF((K14+I15)&gt;0,(J14*K14+H15)/(K14+I15),0),IF(B15="SELL",J14,J14)),J14)</f>
        <v/>
      </c>
      <c r="K15" s="14">
        <f>K14+I15</f>
        <v/>
      </c>
      <c r="L15" s="13">
        <f>L14+IF(B15="BUY",H15,0)</f>
        <v/>
      </c>
    </row>
    <row r="16">
      <c r="A16" s="9" t="n">
        <v>10</v>
      </c>
      <c r="B16" s="7" t="n"/>
      <c r="C16" s="10" t="n"/>
      <c r="D16" s="6" t="n"/>
      <c r="E16" s="11">
        <f>IFERROR(IF(OR(B16="BUY",B16="SELL"),IF(J15&gt;0,(D16-J15)/J15,0),""),"")</f>
        <v/>
      </c>
      <c r="F16" s="11">
        <f>IFERROR(IF(B16="BUY",MAX(0,-E16)*$F$3,IF(B16="SELL",MAX(0,E16)*$H$3,0)),0)</f>
        <v/>
      </c>
      <c r="G16" s="12">
        <f>F16</f>
        <v/>
      </c>
      <c r="H16" s="13">
        <f>IFERROR(IF(B16="BUY",$B$3*G16,IF(B16="SELL",-K15*G16*D16,0)),0)</f>
        <v/>
      </c>
      <c r="I16" s="14">
        <f>IFERROR(IF(B16="BUY",H16/D16,IF(B16="SELL",-K15*G16,0)),0)</f>
        <v/>
      </c>
      <c r="J16" s="15">
        <f>IFERROR(IF(B16="BUY",IF((K15+I16)&gt;0,(J15*K15+H16)/(K15+I16),0),IF(B16="SELL",J15,J15)),J15)</f>
        <v/>
      </c>
      <c r="K16" s="14">
        <f>K15+I16</f>
        <v/>
      </c>
      <c r="L16" s="13">
        <f>L15+IF(B16="BUY",H16,0)</f>
        <v/>
      </c>
    </row>
    <row r="17">
      <c r="A17" s="9" t="n">
        <v>11</v>
      </c>
      <c r="B17" s="7" t="n"/>
      <c r="C17" s="10" t="n"/>
      <c r="D17" s="6" t="n"/>
      <c r="E17" s="11">
        <f>IFERROR(IF(OR(B17="BUY",B17="SELL"),IF(J16&gt;0,(D17-J16)/J16,0),""),"")</f>
        <v/>
      </c>
      <c r="F17" s="11">
        <f>IFERROR(IF(B17="BUY",MAX(0,-E17)*$F$3,IF(B17="SELL",MAX(0,E17)*$H$3,0)),0)</f>
        <v/>
      </c>
      <c r="G17" s="12">
        <f>F17</f>
        <v/>
      </c>
      <c r="H17" s="13">
        <f>IFERROR(IF(B17="BUY",$B$3*G17,IF(B17="SELL",-K16*G17*D17,0)),0)</f>
        <v/>
      </c>
      <c r="I17" s="14">
        <f>IFERROR(IF(B17="BUY",H17/D17,IF(B17="SELL",-K16*G17,0)),0)</f>
        <v/>
      </c>
      <c r="J17" s="15">
        <f>IFERROR(IF(B17="BUY",IF((K16+I17)&gt;0,(J16*K16+H17)/(K16+I17),0),IF(B17="SELL",J16,J16)),J16)</f>
        <v/>
      </c>
      <c r="K17" s="14">
        <f>K16+I17</f>
        <v/>
      </c>
      <c r="L17" s="13">
        <f>L16+IF(B17="BUY",H17,0)</f>
        <v/>
      </c>
    </row>
    <row r="18">
      <c r="A18" s="9" t="n">
        <v>12</v>
      </c>
      <c r="B18" s="7" t="n"/>
      <c r="C18" s="10" t="n"/>
      <c r="D18" s="6" t="n"/>
      <c r="E18" s="11">
        <f>IFERROR(IF(OR(B18="BUY",B18="SELL"),IF(J17&gt;0,(D18-J17)/J17,0),""),"")</f>
        <v/>
      </c>
      <c r="F18" s="11">
        <f>IFERROR(IF(B18="BUY",MAX(0,-E18)*$F$3,IF(B18="SELL",MAX(0,E18)*$H$3,0)),0)</f>
        <v/>
      </c>
      <c r="G18" s="12">
        <f>F18</f>
        <v/>
      </c>
      <c r="H18" s="13">
        <f>IFERROR(IF(B18="BUY",$B$3*G18,IF(B18="SELL",-K17*G18*D18,0)),0)</f>
        <v/>
      </c>
      <c r="I18" s="14">
        <f>IFERROR(IF(B18="BUY",H18/D18,IF(B18="SELL",-K17*G18,0)),0)</f>
        <v/>
      </c>
      <c r="J18" s="15">
        <f>IFERROR(IF(B18="BUY",IF((K17+I18)&gt;0,(J17*K17+H18)/(K17+I18),0),IF(B18="SELL",J17,J17)),J17)</f>
        <v/>
      </c>
      <c r="K18" s="14">
        <f>K17+I18</f>
        <v/>
      </c>
      <c r="L18" s="13">
        <f>L17+IF(B18="BUY",H18,0)</f>
        <v/>
      </c>
    </row>
    <row r="19">
      <c r="A19" s="9" t="n">
        <v>13</v>
      </c>
      <c r="B19" s="7" t="n"/>
      <c r="C19" s="10" t="n"/>
      <c r="D19" s="6" t="n"/>
      <c r="E19" s="11">
        <f>IFERROR(IF(OR(B19="BUY",B19="SELL"),IF(J18&gt;0,(D19-J18)/J18,0),""),"")</f>
        <v/>
      </c>
      <c r="F19" s="11">
        <f>IFERROR(IF(B19="BUY",MAX(0,-E19)*$F$3,IF(B19="SELL",MAX(0,E19)*$H$3,0)),0)</f>
        <v/>
      </c>
      <c r="G19" s="12">
        <f>F19</f>
        <v/>
      </c>
      <c r="H19" s="13">
        <f>IFERROR(IF(B19="BUY",$B$3*G19,IF(B19="SELL",-K18*G19*D19,0)),0)</f>
        <v/>
      </c>
      <c r="I19" s="14">
        <f>IFERROR(IF(B19="BUY",H19/D19,IF(B19="SELL",-K18*G19,0)),0)</f>
        <v/>
      </c>
      <c r="J19" s="15">
        <f>IFERROR(IF(B19="BUY",IF((K18+I19)&gt;0,(J18*K18+H19)/(K18+I19),0),IF(B19="SELL",J18,J18)),J18)</f>
        <v/>
      </c>
      <c r="K19" s="14">
        <f>K18+I19</f>
        <v/>
      </c>
      <c r="L19" s="13">
        <f>L18+IF(B19="BUY",H19,0)</f>
        <v/>
      </c>
    </row>
    <row r="20">
      <c r="A20" s="9" t="n">
        <v>14</v>
      </c>
      <c r="B20" s="7" t="n"/>
      <c r="C20" s="10" t="n"/>
      <c r="D20" s="6" t="n"/>
      <c r="E20" s="11">
        <f>IFERROR(IF(OR(B20="BUY",B20="SELL"),IF(J19&gt;0,(D20-J19)/J19,0),""),"")</f>
        <v/>
      </c>
      <c r="F20" s="11">
        <f>IFERROR(IF(B20="BUY",MAX(0,-E20)*$F$3,IF(B20="SELL",MAX(0,E20)*$H$3,0)),0)</f>
        <v/>
      </c>
      <c r="G20" s="12">
        <f>F20</f>
        <v/>
      </c>
      <c r="H20" s="13">
        <f>IFERROR(IF(B20="BUY",$B$3*G20,IF(B20="SELL",-K19*G20*D20,0)),0)</f>
        <v/>
      </c>
      <c r="I20" s="14">
        <f>IFERROR(IF(B20="BUY",H20/D20,IF(B20="SELL",-K19*G20,0)),0)</f>
        <v/>
      </c>
      <c r="J20" s="15">
        <f>IFERROR(IF(B20="BUY",IF((K19+I20)&gt;0,(J19*K19+H20)/(K19+I20),0),IF(B20="SELL",J19,J19)),J19)</f>
        <v/>
      </c>
      <c r="K20" s="14">
        <f>K19+I20</f>
        <v/>
      </c>
      <c r="L20" s="13">
        <f>L19+IF(B20="BUY",H20,0)</f>
        <v/>
      </c>
    </row>
    <row r="21">
      <c r="A21" s="9" t="n">
        <v>15</v>
      </c>
      <c r="B21" s="7" t="n"/>
      <c r="C21" s="10" t="n"/>
      <c r="D21" s="6" t="n"/>
      <c r="E21" s="11">
        <f>IFERROR(IF(OR(B21="BUY",B21="SELL"),IF(J20&gt;0,(D21-J20)/J20,0),""),"")</f>
        <v/>
      </c>
      <c r="F21" s="11">
        <f>IFERROR(IF(B21="BUY",MAX(0,-E21)*$F$3,IF(B21="SELL",MAX(0,E21)*$H$3,0)),0)</f>
        <v/>
      </c>
      <c r="G21" s="12">
        <f>F21</f>
        <v/>
      </c>
      <c r="H21" s="13">
        <f>IFERROR(IF(B21="BUY",$B$3*G21,IF(B21="SELL",-K20*G21*D21,0)),0)</f>
        <v/>
      </c>
      <c r="I21" s="14">
        <f>IFERROR(IF(B21="BUY",H21/D21,IF(B21="SELL",-K20*G21,0)),0)</f>
        <v/>
      </c>
      <c r="J21" s="15">
        <f>IFERROR(IF(B21="BUY",IF((K20+I21)&gt;0,(J20*K20+H21)/(K20+I21),0),IF(B21="SELL",J20,J20)),J20)</f>
        <v/>
      </c>
      <c r="K21" s="14">
        <f>K20+I21</f>
        <v/>
      </c>
      <c r="L21" s="13">
        <f>L20+IF(B21="BUY",H21,0)</f>
        <v/>
      </c>
    </row>
    <row r="22">
      <c r="A22" s="9" t="n">
        <v>16</v>
      </c>
      <c r="B22" s="7" t="n"/>
      <c r="C22" s="10" t="n"/>
      <c r="D22" s="6" t="n"/>
      <c r="E22" s="11">
        <f>IFERROR(IF(OR(B22="BUY",B22="SELL"),IF(J21&gt;0,(D22-J21)/J21,0),""),"")</f>
        <v/>
      </c>
      <c r="F22" s="11">
        <f>IFERROR(IF(B22="BUY",MAX(0,-E22)*$F$3,IF(B22="SELL",MAX(0,E22)*$H$3,0)),0)</f>
        <v/>
      </c>
      <c r="G22" s="12">
        <f>F22</f>
        <v/>
      </c>
      <c r="H22" s="13">
        <f>IFERROR(IF(B22="BUY",$B$3*G22,IF(B22="SELL",-K21*G22*D22,0)),0)</f>
        <v/>
      </c>
      <c r="I22" s="14">
        <f>IFERROR(IF(B22="BUY",H22/D22,IF(B22="SELL",-K21*G22,0)),0)</f>
        <v/>
      </c>
      <c r="J22" s="15">
        <f>IFERROR(IF(B22="BUY",IF((K21+I22)&gt;0,(J21*K21+H22)/(K21+I22),0),IF(B22="SELL",J21,J21)),J21)</f>
        <v/>
      </c>
      <c r="K22" s="14">
        <f>K21+I22</f>
        <v/>
      </c>
      <c r="L22" s="13">
        <f>L21+IF(B22="BUY",H22,0)</f>
        <v/>
      </c>
    </row>
    <row r="23">
      <c r="A23" s="9" t="n">
        <v>17</v>
      </c>
      <c r="B23" s="7" t="n"/>
      <c r="C23" s="10" t="n"/>
      <c r="D23" s="6" t="n"/>
      <c r="E23" s="11">
        <f>IFERROR(IF(OR(B23="BUY",B23="SELL"),IF(J22&gt;0,(D23-J22)/J22,0),""),"")</f>
        <v/>
      </c>
      <c r="F23" s="11">
        <f>IFERROR(IF(B23="BUY",MAX(0,-E23)*$F$3,IF(B23="SELL",MAX(0,E23)*$H$3,0)),0)</f>
        <v/>
      </c>
      <c r="G23" s="12">
        <f>F23</f>
        <v/>
      </c>
      <c r="H23" s="13">
        <f>IFERROR(IF(B23="BUY",$B$3*G23,IF(B23="SELL",-K22*G23*D23,0)),0)</f>
        <v/>
      </c>
      <c r="I23" s="14">
        <f>IFERROR(IF(B23="BUY",H23/D23,IF(B23="SELL",-K22*G23,0)),0)</f>
        <v/>
      </c>
      <c r="J23" s="15">
        <f>IFERROR(IF(B23="BUY",IF((K22+I23)&gt;0,(J22*K22+H23)/(K22+I23),0),IF(B23="SELL",J22,J22)),J22)</f>
        <v/>
      </c>
      <c r="K23" s="14">
        <f>K22+I23</f>
        <v/>
      </c>
      <c r="L23" s="13">
        <f>L22+IF(B23="BUY",H23,0)</f>
        <v/>
      </c>
    </row>
    <row r="24">
      <c r="A24" s="9" t="n">
        <v>18</v>
      </c>
      <c r="B24" s="7" t="n"/>
      <c r="C24" s="10" t="n"/>
      <c r="D24" s="6" t="n"/>
      <c r="E24" s="11">
        <f>IFERROR(IF(OR(B24="BUY",B24="SELL"),IF(J23&gt;0,(D24-J23)/J23,0),""),"")</f>
        <v/>
      </c>
      <c r="F24" s="11">
        <f>IFERROR(IF(B24="BUY",MAX(0,-E24)*$F$3,IF(B24="SELL",MAX(0,E24)*$H$3,0)),0)</f>
        <v/>
      </c>
      <c r="G24" s="12">
        <f>F24</f>
        <v/>
      </c>
      <c r="H24" s="13">
        <f>IFERROR(IF(B24="BUY",$B$3*G24,IF(B24="SELL",-K23*G24*D24,0)),0)</f>
        <v/>
      </c>
      <c r="I24" s="14">
        <f>IFERROR(IF(B24="BUY",H24/D24,IF(B24="SELL",-K23*G24,0)),0)</f>
        <v/>
      </c>
      <c r="J24" s="15">
        <f>IFERROR(IF(B24="BUY",IF((K23+I24)&gt;0,(J23*K23+H24)/(K23+I24),0),IF(B24="SELL",J23,J23)),J23)</f>
        <v/>
      </c>
      <c r="K24" s="14">
        <f>K23+I24</f>
        <v/>
      </c>
      <c r="L24" s="13">
        <f>L23+IF(B24="BUY",H24,0)</f>
        <v/>
      </c>
    </row>
    <row r="25">
      <c r="A25" s="9" t="n">
        <v>19</v>
      </c>
      <c r="B25" s="7" t="n"/>
      <c r="C25" s="10" t="n"/>
      <c r="D25" s="6" t="n"/>
      <c r="E25" s="11">
        <f>IFERROR(IF(OR(B25="BUY",B25="SELL"),IF(J24&gt;0,(D25-J24)/J24,0),""),"")</f>
        <v/>
      </c>
      <c r="F25" s="11">
        <f>IFERROR(IF(B25="BUY",MAX(0,-E25)*$F$3,IF(B25="SELL",MAX(0,E25)*$H$3,0)),0)</f>
        <v/>
      </c>
      <c r="G25" s="12">
        <f>F25</f>
        <v/>
      </c>
      <c r="H25" s="13">
        <f>IFERROR(IF(B25="BUY",$B$3*G25,IF(B25="SELL",-K24*G25*D25,0)),0)</f>
        <v/>
      </c>
      <c r="I25" s="14">
        <f>IFERROR(IF(B25="BUY",H25/D25,IF(B25="SELL",-K24*G25,0)),0)</f>
        <v/>
      </c>
      <c r="J25" s="15">
        <f>IFERROR(IF(B25="BUY",IF((K24+I25)&gt;0,(J24*K24+H25)/(K24+I25),0),IF(B25="SELL",J24,J24)),J24)</f>
        <v/>
      </c>
      <c r="K25" s="14">
        <f>K24+I25</f>
        <v/>
      </c>
      <c r="L25" s="13">
        <f>L24+IF(B25="BUY",H25,0)</f>
        <v/>
      </c>
    </row>
    <row r="26">
      <c r="A26" s="9" t="n">
        <v>20</v>
      </c>
      <c r="B26" s="7" t="n"/>
      <c r="C26" s="10" t="n"/>
      <c r="D26" s="6" t="n"/>
      <c r="E26" s="11">
        <f>IFERROR(IF(OR(B26="BUY",B26="SELL"),IF(J25&gt;0,(D26-J25)/J25,0),""),"")</f>
        <v/>
      </c>
      <c r="F26" s="11">
        <f>IFERROR(IF(B26="BUY",MAX(0,-E26)*$F$3,IF(B26="SELL",MAX(0,E26)*$H$3,0)),0)</f>
        <v/>
      </c>
      <c r="G26" s="12">
        <f>F26</f>
        <v/>
      </c>
      <c r="H26" s="13">
        <f>IFERROR(IF(B26="BUY",$B$3*G26,IF(B26="SELL",-K25*G26*D26,0)),0)</f>
        <v/>
      </c>
      <c r="I26" s="14">
        <f>IFERROR(IF(B26="BUY",H26/D26,IF(B26="SELL",-K25*G26,0)),0)</f>
        <v/>
      </c>
      <c r="J26" s="15">
        <f>IFERROR(IF(B26="BUY",IF((K25+I26)&gt;0,(J25*K25+H26)/(K25+I26),0),IF(B26="SELL",J25,J25)),J25)</f>
        <v/>
      </c>
      <c r="K26" s="14">
        <f>K25+I26</f>
        <v/>
      </c>
      <c r="L26" s="13">
        <f>L25+IF(B26="BUY",H26,0)</f>
        <v/>
      </c>
    </row>
    <row r="28" ht="24" customHeight="1">
      <c r="A28" s="1" t="inlineStr">
        <is>
          <t>当前持仓汇总</t>
        </is>
      </c>
    </row>
    <row r="29">
      <c r="A29" s="2" t="inlineStr">
        <is>
          <t>累计买入次数</t>
        </is>
      </c>
      <c r="B29" s="16">
        <f>COUNTIF(B7:B26,"BUY")</f>
        <v/>
      </c>
      <c r="D29" s="2" t="inlineStr">
        <is>
          <t>累计卖出次数</t>
        </is>
      </c>
      <c r="E29" s="16">
        <f>COUNTIF(B7:B26,"SELL")</f>
        <v/>
      </c>
      <c r="G29" s="2" t="inlineStr">
        <is>
          <t>当前持仓数量</t>
        </is>
      </c>
      <c r="H29" s="14">
        <f>IFERROR(LOOKUP(2,1/(K7:K26&lt;&gt;""),K7:K26),0)</f>
        <v/>
      </c>
      <c r="J29" s="2" t="inlineStr">
        <is>
          <t>当前平均成本</t>
        </is>
      </c>
      <c r="K29" s="15">
        <f>IFERROR(LOOKUP(2,1/(J7:J26&lt;&gt;""),J7:J26),0)</f>
        <v/>
      </c>
    </row>
    <row r="30">
      <c r="A30" s="2" t="inlineStr">
        <is>
          <t>累计投入 $</t>
        </is>
      </c>
      <c r="B30" s="17">
        <f>SUMIF(B7:B26,"BUY",H7:H26)+SUMIF(B7:B26,"SELL",H7:H26)</f>
        <v/>
      </c>
      <c r="D30" s="2" t="inlineStr">
        <is>
          <t>当前市值 $</t>
        </is>
      </c>
      <c r="E30" s="17">
        <f>H29*$J$3</f>
        <v/>
      </c>
      <c r="G30" s="2" t="inlineStr">
        <is>
          <t>浮动盈亏 $</t>
        </is>
      </c>
      <c r="H30" s="17">
        <f>H29*($J$3-K29)</f>
        <v/>
      </c>
      <c r="J30" s="2" t="inlineStr">
        <is>
          <t>浮动收益率</t>
        </is>
      </c>
      <c r="K30" s="18">
        <f>IFERROR((H29*($J$3-K29))/SUMIF(B7:B26,"BUY",H7:H26),0)</f>
        <v/>
      </c>
    </row>
    <row r="31">
      <c r="A31" s="2" t="inlineStr">
        <is>
          <t>已用资金占比</t>
        </is>
      </c>
      <c r="B31" s="18">
        <f>IFERROR(SUMIF(B7:B26,"BUY",H7:H26)/$B$3,0)</f>
        <v/>
      </c>
      <c r="D31" s="2" t="inlineStr">
        <is>
          <t>剩余可用资金</t>
        </is>
      </c>
      <c r="E31" s="17">
        <f>$B$3-SUMIF(B7:B26,"BUY",H7:H26)</f>
        <v/>
      </c>
      <c r="G31" s="2" t="inlineStr">
        <is>
          <t>首次建仓价</t>
        </is>
      </c>
      <c r="H31" s="19">
        <f>IFERROR(INDEX(D7:D26,MATCH("BUY",B7:B26,0)),0)</f>
        <v/>
      </c>
      <c r="J31" s="2" t="inlineStr">
        <is>
          <t>相对首仓涨跌</t>
        </is>
      </c>
      <c r="K31" s="18">
        <f>IFERROR(($J$3-INDEX(D7:D26,MATCH("BUY",B7:B26,0)))/INDEX(D7:D26,MATCH("BUY",B7:B26,0)),0)</f>
        <v/>
      </c>
    </row>
  </sheetData>
  <mergeCells count="7">
    <mergeCell ref="C29"/>
    <mergeCell ref="A28:L28"/>
    <mergeCell ref="A1:L1"/>
    <mergeCell ref="F29"/>
    <mergeCell ref="I29"/>
    <mergeCell ref="L29"/>
    <mergeCell ref="A4:L4"/>
  </mergeCells>
  <conditionalFormatting sqref="A7:L26">
    <cfRule type="expression" priority="1" dxfId="0">
      <formula>$B7="BUY"</formula>
    </cfRule>
    <cfRule type="expression" priority="2" dxfId="1">
      <formula>$B7="SELL"</formula>
    </cfRule>
  </conditionalFormatting>
  <conditionalFormatting sqref="H30">
    <cfRule type="cellIs" priority="3" operator="greaterThan" dxfId="2">
      <formula>0</formula>
    </cfRule>
    <cfRule type="cellIs" priority="4" operator="lessThan" dxfId="3">
      <formula>0</formula>
    </cfRule>
  </conditionalFormatting>
  <conditionalFormatting sqref="K30">
    <cfRule type="cellIs" priority="5" operator="greaterThan" dxfId="2">
      <formula>0</formula>
    </cfRule>
    <cfRule type="cellIs" priority="6" operator="lessThan" dxfId="3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11" customWidth="1" min="4" max="4"/>
    <col width="10" customWidth="1" min="5" max="5"/>
    <col width="10" customWidth="1" min="6" max="6"/>
    <col width="11" customWidth="1" min="7" max="7"/>
    <col width="12" customWidth="1" min="8" max="8"/>
    <col width="12" customWidth="1" min="9" max="9"/>
    <col width="11" customWidth="1" min="10" max="10"/>
    <col width="12" customWidth="1" min="11" max="11"/>
    <col width="13" customWidth="1" min="12" max="12"/>
  </cols>
  <sheetData>
    <row r="1">
      <c r="A1" s="2" t="inlineStr">
        <is>
          <t>#</t>
        </is>
      </c>
      <c r="B1" s="2" t="inlineStr">
        <is>
          <t>操作</t>
        </is>
      </c>
      <c r="C1" s="2" t="inlineStr">
        <is>
          <t>日期</t>
        </is>
      </c>
      <c r="D1" s="2" t="inlineStr">
        <is>
          <t>成交价</t>
        </is>
      </c>
      <c r="E1" s="2" t="inlineStr">
        <is>
          <t>涨跌%</t>
        </is>
      </c>
      <c r="F1" s="2" t="inlineStr">
        <is>
          <t>建议%</t>
        </is>
      </c>
      <c r="G1" s="2" t="inlineStr">
        <is>
          <t>实际投入%</t>
        </is>
      </c>
      <c r="H1" s="2" t="inlineStr">
        <is>
          <t>金额$</t>
        </is>
      </c>
      <c r="I1" s="2" t="inlineStr">
        <is>
          <t>数量</t>
        </is>
      </c>
      <c r="J1" s="2" t="inlineStr">
        <is>
          <t>平均成本</t>
        </is>
      </c>
      <c r="K1" s="2" t="inlineStr">
        <is>
          <t>累计持仓</t>
        </is>
      </c>
      <c r="L1" s="2" t="inlineStr">
        <is>
          <t>累计投入$</t>
        </is>
      </c>
    </row>
    <row r="2">
      <c r="A2" s="20" t="n">
        <v>1</v>
      </c>
      <c r="B2" s="20" t="inlineStr">
        <is>
          <t>BUY</t>
        </is>
      </c>
      <c r="C2" s="20" t="inlineStr">
        <is>
          <t>2025-01-10</t>
        </is>
      </c>
      <c r="D2" s="20" t="n">
        <v>3000</v>
      </c>
      <c r="E2" s="20" t="inlineStr">
        <is>
          <t>—</t>
        </is>
      </c>
      <c r="F2" s="20" t="inlineStr">
        <is>
          <t>10%</t>
        </is>
      </c>
      <c r="G2" s="20" t="inlineStr">
        <is>
          <t>10%</t>
        </is>
      </c>
      <c r="H2" s="20" t="n">
        <v>1000</v>
      </c>
      <c r="I2" s="20" t="n">
        <v>0.3333</v>
      </c>
      <c r="J2" s="20" t="n">
        <v>3000</v>
      </c>
      <c r="K2" s="20" t="n">
        <v>0.3333</v>
      </c>
      <c r="L2" s="20" t="n">
        <v>1000</v>
      </c>
    </row>
    <row r="3">
      <c r="A3" s="20" t="n">
        <v>2</v>
      </c>
      <c r="B3" s="20" t="inlineStr">
        <is>
          <t>BUY</t>
        </is>
      </c>
      <c r="C3" s="20" t="inlineStr">
        <is>
          <t>2025-02-15</t>
        </is>
      </c>
      <c r="D3" s="20" t="n">
        <v>2400</v>
      </c>
      <c r="E3" s="20" t="inlineStr">
        <is>
          <t>-20.0%</t>
        </is>
      </c>
      <c r="F3" s="20" t="inlineStr">
        <is>
          <t>20.0%</t>
        </is>
      </c>
      <c r="G3" s="20" t="inlineStr">
        <is>
          <t>20.0%</t>
        </is>
      </c>
      <c r="H3" s="20" t="n">
        <v>2000</v>
      </c>
      <c r="I3" s="20" t="n">
        <v>0.8333</v>
      </c>
      <c r="J3" s="20" t="n">
        <v>2571</v>
      </c>
      <c r="K3" s="20" t="n">
        <v>1.1667</v>
      </c>
      <c r="L3" s="20" t="n">
        <v>3000</v>
      </c>
    </row>
    <row r="4">
      <c r="A4" s="20" t="n">
        <v>3</v>
      </c>
      <c r="B4" s="20" t="inlineStr">
        <is>
          <t>BUY</t>
        </is>
      </c>
      <c r="C4" s="20" t="inlineStr">
        <is>
          <t>2025-03-20</t>
        </is>
      </c>
      <c r="D4" s="20" t="n">
        <v>1800</v>
      </c>
      <c r="E4" s="20" t="inlineStr">
        <is>
          <t>-30.0%</t>
        </is>
      </c>
      <c r="F4" s="20" t="inlineStr">
        <is>
          <t>30.0%</t>
        </is>
      </c>
      <c r="G4" s="20" t="inlineStr">
        <is>
          <t>30.0%</t>
        </is>
      </c>
      <c r="H4" s="20" t="n">
        <v>3000</v>
      </c>
      <c r="I4" s="20" t="n">
        <v>1.6667</v>
      </c>
      <c r="J4" s="20" t="n">
        <v>2117</v>
      </c>
      <c r="K4" s="20" t="n">
        <v>2.8333</v>
      </c>
      <c r="L4" s="20" t="n">
        <v>6000</v>
      </c>
    </row>
    <row r="5">
      <c r="A5" s="21" t="n">
        <v>4</v>
      </c>
      <c r="B5" s="21" t="inlineStr">
        <is>
          <t>SELL</t>
        </is>
      </c>
      <c r="C5" s="21" t="inlineStr">
        <is>
          <t>2025-04-10</t>
        </is>
      </c>
      <c r="D5" s="21" t="n">
        <v>2540</v>
      </c>
      <c r="E5" s="21" t="inlineStr">
        <is>
          <t>+20.0%</t>
        </is>
      </c>
      <c r="F5" s="21" t="inlineStr">
        <is>
          <t>20.0%</t>
        </is>
      </c>
      <c r="G5" s="21" t="inlineStr">
        <is>
          <t>20.0%</t>
        </is>
      </c>
      <c r="H5" s="21" t="n">
        <v>1290</v>
      </c>
      <c r="I5" s="21" t="n">
        <v>0.5667</v>
      </c>
      <c r="J5" s="21" t="n">
        <v>2117</v>
      </c>
      <c r="K5" s="21" t="n">
        <v>2.2666</v>
      </c>
      <c r="L5" s="21" t="n">
        <v>6000</v>
      </c>
    </row>
    <row r="6">
      <c r="A6" s="21" t="n">
        <v>5</v>
      </c>
      <c r="B6" s="21" t="inlineStr">
        <is>
          <t>SELL</t>
        </is>
      </c>
      <c r="C6" s="21" t="inlineStr">
        <is>
          <t>2025-05-05</t>
        </is>
      </c>
      <c r="D6" s="21" t="n">
        <v>3176</v>
      </c>
      <c r="E6" s="21" t="inlineStr">
        <is>
          <t>+50.0%</t>
        </is>
      </c>
      <c r="F6" s="21" t="inlineStr">
        <is>
          <t>50.0%</t>
        </is>
      </c>
      <c r="G6" s="21" t="inlineStr">
        <is>
          <t>50.0%</t>
        </is>
      </c>
      <c r="H6" s="21" t="n">
        <v>3599</v>
      </c>
      <c r="I6" s="21" t="n">
        <v>1.1333</v>
      </c>
      <c r="J6" s="21" t="n">
        <v>2117</v>
      </c>
      <c r="K6" s="21" t="n">
        <v>1.1333</v>
      </c>
      <c r="L6" s="21" t="n">
        <v>6000</v>
      </c>
    </row>
    <row r="8" ht="30" customHeight="1">
      <c r="A8" s="22" t="inlineStr">
        <is>
          <t>说明：本示例展示 ETH 10000本金 DCA 流程 - 首次10%建仓 → 跌20%加仓20% → 跌30%加仓30% → 涨20%卖20% → 涨50%卖50%</t>
        </is>
      </c>
    </row>
  </sheetData>
  <mergeCells count="1">
    <mergeCell ref="A8:L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3" t="inlineStr">
        <is>
          <t>DCA 持仓计算器 使用说明</t>
        </is>
      </c>
    </row>
    <row r="2">
      <c r="A2" s="24" t="inlineStr"/>
    </row>
    <row r="3">
      <c r="A3" s="25" t="inlineStr">
        <is>
          <t>【输入区 黄色格子】</t>
        </is>
      </c>
    </row>
    <row r="4">
      <c r="A4" s="24" t="inlineStr">
        <is>
          <t xml:space="preserve">  B3  初始本金（默认 10000）</t>
        </is>
      </c>
    </row>
    <row r="5">
      <c r="A5" s="24" t="inlineStr">
        <is>
          <t xml:space="preserve">  D3  首次建仓占本金% （默认 10%）</t>
        </is>
      </c>
    </row>
    <row r="6">
      <c r="A6" s="24" t="inlineStr">
        <is>
          <t xml:space="preserve">  F3  买入倍率：跌幅 × 此倍率 = 本次买入占本金%（1.0=跌30%买30%）</t>
        </is>
      </c>
    </row>
    <row r="7">
      <c r="A7" s="24" t="inlineStr">
        <is>
          <t xml:space="preserve">  H3  卖出倍率：涨幅 × 此倍率 = 本次卖出占持仓%（1.0=涨20%卖20%）</t>
        </is>
      </c>
    </row>
    <row r="8">
      <c r="A8" s="24" t="inlineStr">
        <is>
          <t xml:space="preserve">  J3  当前市价（用于实时计算浮动盈亏）</t>
        </is>
      </c>
    </row>
    <row r="9">
      <c r="A9" s="24" t="inlineStr">
        <is>
          <t xml:space="preserve">  L3  币种名称</t>
        </is>
      </c>
    </row>
    <row r="10">
      <c r="A10" s="24" t="inlineStr"/>
    </row>
    <row r="11">
      <c r="A11" s="25" t="inlineStr">
        <is>
          <t>【交易表格 B7:D26 黄色为必填】</t>
        </is>
      </c>
    </row>
    <row r="12">
      <c r="A12" s="24" t="inlineStr">
        <is>
          <t xml:space="preserve">  B列 操作：输入 BUY 或 SELL</t>
        </is>
      </c>
    </row>
    <row r="13">
      <c r="A13" s="24" t="inlineStr">
        <is>
          <t xml:space="preserve">  C列 日期：交易日期</t>
        </is>
      </c>
    </row>
    <row r="14">
      <c r="A14" s="24" t="inlineStr">
        <is>
          <t xml:space="preserve">  D列 成交价：实际成交价格</t>
        </is>
      </c>
    </row>
    <row r="15">
      <c r="A15" s="24" t="inlineStr">
        <is>
          <t xml:space="preserve">  G列 实际投入%：默认=建议%，你可以手动改成实际执行的比例</t>
        </is>
      </c>
    </row>
    <row r="16">
      <c r="A16" s="24" t="inlineStr"/>
    </row>
    <row r="17">
      <c r="A17" s="25" t="inlineStr">
        <is>
          <t>【自动计算列 浅蓝色】</t>
        </is>
      </c>
    </row>
    <row r="18">
      <c r="A18" s="24" t="inlineStr">
        <is>
          <t xml:space="preserve">  E列 涨跌%    相对上一次平均成本的涨跌幅</t>
        </is>
      </c>
    </row>
    <row r="19">
      <c r="A19" s="24" t="inlineStr">
        <is>
          <t xml:space="preserve">  F列 建议%    系统根据规则自动建议的仓位比例</t>
        </is>
      </c>
    </row>
    <row r="20">
      <c r="A20" s="24" t="inlineStr">
        <is>
          <t xml:space="preserve">  H列 金额    本次交易美元金额（SELL为负）</t>
        </is>
      </c>
    </row>
    <row r="21">
      <c r="A21" s="24" t="inlineStr">
        <is>
          <t xml:space="preserve">  I列 数量    本次交易币数（SELL为负）</t>
        </is>
      </c>
    </row>
    <row r="22">
      <c r="A22" s="24" t="inlineStr">
        <is>
          <t xml:space="preserve">  J列 平均成本  本次交易后的持仓均价</t>
        </is>
      </c>
    </row>
    <row r="23">
      <c r="A23" s="24" t="inlineStr">
        <is>
          <t xml:space="preserve">  K列 累计持仓  本次交易后的总币数</t>
        </is>
      </c>
    </row>
    <row r="24">
      <c r="A24" s="24" t="inlineStr">
        <is>
          <t xml:space="preserve">  L列 累计投入  历史所有BUY的累加金额</t>
        </is>
      </c>
    </row>
    <row r="25">
      <c r="A25" s="24" t="inlineStr"/>
    </row>
    <row r="26">
      <c r="A26" s="25" t="inlineStr">
        <is>
          <t>【汇总区】</t>
        </is>
      </c>
    </row>
    <row r="27">
      <c r="A27" s="24" t="inlineStr">
        <is>
          <t xml:space="preserve">  28行起显示：买入次数 / 卖出次数 / 当前持仓 / 平均成本</t>
        </is>
      </c>
    </row>
    <row r="28">
      <c r="A28" s="24" t="inlineStr">
        <is>
          <t xml:space="preserve">  累计投入 / 当前市值 / 浮动盈亏 / 浮动收益率</t>
        </is>
      </c>
    </row>
    <row r="29">
      <c r="A29" s="24" t="inlineStr">
        <is>
          <t xml:space="preserve">  已用资金% / 剩余可用 / 首次建仓价 / 相对首仓涨跌</t>
        </is>
      </c>
    </row>
    <row r="30">
      <c r="A30" s="24" t="inlineStr"/>
    </row>
    <row r="31">
      <c r="A31" s="25" t="inlineStr">
        <is>
          <t>【使用流程】</t>
        </is>
      </c>
    </row>
    <row r="32">
      <c r="A32" s="24" t="inlineStr">
        <is>
          <t xml:space="preserve">  1. 设定初始本金和规则参数（第3行）</t>
        </is>
      </c>
    </row>
    <row r="33">
      <c r="A33" s="24" t="inlineStr">
        <is>
          <t xml:space="preserve">  2. TradingView 出现 BUY 信号 → 在表格填 BUY/日期/价格</t>
        </is>
      </c>
    </row>
    <row r="34">
      <c r="A34" s="24" t="inlineStr">
        <is>
          <t xml:space="preserve">  3. 查看 G列建议% → 可以按建议下单，也可以手动覆盖比例</t>
        </is>
      </c>
    </row>
    <row r="35">
      <c r="A35" s="24" t="inlineStr">
        <is>
          <t xml:space="preserve">  4. 出现 SELL 信号同理填入</t>
        </is>
      </c>
    </row>
    <row r="36">
      <c r="A36" s="24" t="inlineStr">
        <is>
          <t xml:space="preserve">  5. 修改 J3 当前市价 → 实时看到浮动盈亏</t>
        </is>
      </c>
    </row>
    <row r="37">
      <c r="A37" s="24" t="inlineStr"/>
    </row>
    <row r="38">
      <c r="A38" s="25" t="inlineStr">
        <is>
          <t>【示例规则】</t>
        </is>
      </c>
    </row>
    <row r="39">
      <c r="A39" s="24" t="inlineStr">
        <is>
          <t xml:space="preserve">  首次 BUY @ 3000  买 10% = $1000 → 0.333 ETH</t>
        </is>
      </c>
    </row>
    <row r="40">
      <c r="A40" s="24" t="inlineStr">
        <is>
          <t xml:space="preserve">  跌 20% BUY @ 2400 买 20% = $2000 → 0.833 ETH（均价 2571）</t>
        </is>
      </c>
    </row>
    <row r="41">
      <c r="A41" s="24" t="inlineStr">
        <is>
          <t xml:space="preserve">  跌 30%（距2571）BUY @ 1800 买 30% = $3000 → 1.667 ETH（均价 2117）</t>
        </is>
      </c>
    </row>
    <row r="42">
      <c r="A42" s="24" t="inlineStr">
        <is>
          <t xml:space="preserve">  涨 20%（距2117）SELL @ 2540 卖 20% 持仓</t>
        </is>
      </c>
    </row>
    <row r="43">
      <c r="A43" s="24" t="inlineStr">
        <is>
          <t xml:space="preserve">  涨 50%（距2117）SELL @ 3176 卖 50% 持仓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2026-05-10T17:31:42Z</dcterms:created>
  <dcterms:modified xsi:type="dcterms:W3CDTF">2026-05-10T17:31:42Z</dcterms:modified>
</cp:coreProperties>
</file>